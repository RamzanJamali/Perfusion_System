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erfusion_System\"/>
    </mc:Choice>
  </mc:AlternateContent>
  <xr:revisionPtr revIDLastSave="0" documentId="13_ncr:1_{3A77E504-92FB-4666-A34D-341A944202B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I10" i="1"/>
  <c r="J10" i="1" s="1"/>
  <c r="H10" i="1"/>
  <c r="D9" i="1"/>
  <c r="K3" i="1"/>
  <c r="D13" i="1"/>
  <c r="H6" i="1"/>
  <c r="I6" i="1" s="1"/>
  <c r="J6" i="1" s="1"/>
  <c r="G6" i="1"/>
  <c r="E3" i="1"/>
  <c r="D6" i="1" s="1"/>
  <c r="C6" i="1"/>
  <c r="B6" i="1"/>
  <c r="K6" i="1" l="1"/>
  <c r="D14" i="1" s="1"/>
  <c r="B14" i="1" s="1"/>
  <c r="E6" i="1"/>
</calcChain>
</file>

<file path=xl/sharedStrings.xml><?xml version="1.0" encoding="utf-8"?>
<sst xmlns="http://schemas.openxmlformats.org/spreadsheetml/2006/main" count="28" uniqueCount="22">
  <si>
    <t>Motor_RPM</t>
  </si>
  <si>
    <t>Gearbox_Ratio</t>
  </si>
  <si>
    <t>Distance_per_Revolution</t>
  </si>
  <si>
    <t>mL per mm</t>
  </si>
  <si>
    <t>Output_RPM</t>
  </si>
  <si>
    <t>Revs_per_Day</t>
  </si>
  <si>
    <t>mL_per_Rev</t>
  </si>
  <si>
    <t>Flow_per_Day(mL)</t>
  </si>
  <si>
    <t>Desired_Flow (mL_per_Day)</t>
  </si>
  <si>
    <t>mm_per_mL</t>
  </si>
  <si>
    <t>mm_per_Revo(screw thread)</t>
  </si>
  <si>
    <t>Motor_Steps_per_Revo</t>
  </si>
  <si>
    <t>Volume_per_Revo(mL/rev)</t>
  </si>
  <si>
    <t>Revo_Needed_per_Day</t>
  </si>
  <si>
    <t>Output_RPM(after gearbox)</t>
  </si>
  <si>
    <t>Steps_per_Sec</t>
  </si>
  <si>
    <t>Microsteps_period</t>
  </si>
  <si>
    <t>Frequency</t>
  </si>
  <si>
    <t>Microsteps_per_Second</t>
  </si>
  <si>
    <t>Microsteps_Period</t>
  </si>
  <si>
    <t>Constant</t>
  </si>
  <si>
    <t>Verification_Microsteps_Period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</si>
</sst>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65E73-B636-44F6-B807-D2670659BDA8}" name="Table1" displayName="Table1" ref="B2:E6" totalsRowShown="0">
  <autoFilter ref="B2:E6" xr:uid="{73765E73-B636-44F6-B807-D2670659BDA8}"/>
  <tableColumns count="4">
    <tableColumn id="1" xr3:uid="{82D1687D-6E4D-4905-BBD0-43A6361E60AE}" name="Motor_RPM"/>
    <tableColumn id="2" xr3:uid="{D573D9F6-4370-4E98-8D3B-93322A8791E4}" name="Gearbox_Ratio"/>
    <tableColumn id="3" xr3:uid="{2C575AAA-CCA5-429F-B27F-79612899F524}" name="Distance_per_Revolution"/>
    <tableColumn id="4" xr3:uid="{43F6878F-D433-4F67-95DA-51733ED4FDA1}" name="mL per mm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617811-4CE7-4A97-9F78-CCBA27BF7F50}" name="Table2" displayName="Table2" ref="G2:K6" totalsRowShown="0">
  <autoFilter ref="G2:K6" xr:uid="{56617811-4CE7-4A97-9F78-CCBA27BF7F50}"/>
  <tableColumns count="5">
    <tableColumn id="1" xr3:uid="{0445619F-CEE9-4AA3-8230-747E68BE2A34}" name="Desired_Flow (mL_per_Day)"/>
    <tableColumn id="2" xr3:uid="{BAF77F94-AEE1-45F0-A6E8-6255FFA9E5C8}" name="mm_per_mL"/>
    <tableColumn id="3" xr3:uid="{30A5337F-496B-4072-B630-168631E5B7FB}" name="mm_per_Revo(screw thread)"/>
    <tableColumn id="4" xr3:uid="{88926713-E3F8-4DF6-93AD-6AAD4229C499}" name="Gearbox_Ratio"/>
    <tableColumn id="5" xr3:uid="{853E685A-C414-4F53-AE37-C0ECEE1EFA47}" name="Motor_Steps_per_Revo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314B12-BCFD-4870-98F5-EB81A2644B88}" name="Table3" displayName="Table3" ref="B12:D14" totalsRowShown="0">
  <autoFilter ref="B12:D14" xr:uid="{09314B12-BCFD-4870-98F5-EB81A2644B88}"/>
  <tableColumns count="3">
    <tableColumn id="1" xr3:uid="{0B982B6F-BAE6-4273-BCF0-121186B7C80D}" name="Microsteps_period">
      <calculatedColumnFormula>D13/C13</calculatedColumnFormula>
    </tableColumn>
    <tableColumn id="2" xr3:uid="{94F2E428-7924-4C14-B737-E8EEEC036F7F}" name="Frequency"/>
    <tableColumn id="3" xr3:uid="{5260F8CE-8AD3-44CA-8B7E-FB49B262981F}" name="Microsteps_per_Second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7"/>
  <sheetViews>
    <sheetView tabSelected="1" workbookViewId="0">
      <selection activeCell="B4" sqref="B4"/>
    </sheetView>
  </sheetViews>
  <sheetFormatPr defaultRowHeight="14.5" x14ac:dyDescent="0.35"/>
  <cols>
    <col min="2" max="2" width="18.453125" customWidth="1"/>
    <col min="3" max="3" width="15.1796875" customWidth="1"/>
    <col min="4" max="4" width="23.81640625" customWidth="1"/>
    <col min="5" max="5" width="20.6328125" customWidth="1"/>
    <col min="6" max="6" width="17.54296875" customWidth="1"/>
    <col min="7" max="7" width="26.26953125" customWidth="1"/>
    <col min="8" max="8" width="22.1796875" customWidth="1"/>
    <col min="9" max="9" width="27.08984375" customWidth="1"/>
    <col min="10" max="10" width="15.1796875" customWidth="1"/>
    <col min="11" max="11" width="22.453125" customWidth="1"/>
  </cols>
  <sheetData>
    <row r="2" spans="2:11" x14ac:dyDescent="0.35">
      <c r="B2" t="s">
        <v>0</v>
      </c>
      <c r="C2" t="s">
        <v>1</v>
      </c>
      <c r="D2" t="s">
        <v>2</v>
      </c>
      <c r="E2" t="s">
        <v>3</v>
      </c>
      <c r="G2" t="s">
        <v>8</v>
      </c>
      <c r="H2" t="s">
        <v>9</v>
      </c>
      <c r="I2" t="s">
        <v>10</v>
      </c>
      <c r="J2" t="s">
        <v>1</v>
      </c>
      <c r="K2" t="s">
        <v>11</v>
      </c>
    </row>
    <row r="3" spans="2:11" x14ac:dyDescent="0.35">
      <c r="B3">
        <v>0.13780000000000001</v>
      </c>
      <c r="C3">
        <v>20</v>
      </c>
      <c r="D3">
        <v>1.25</v>
      </c>
      <c r="E3">
        <f>1/4.96</f>
        <v>0.20161290322580647</v>
      </c>
      <c r="G3">
        <v>2.5</v>
      </c>
      <c r="H3">
        <v>4.96</v>
      </c>
      <c r="I3">
        <v>1.25</v>
      </c>
      <c r="J3">
        <v>20</v>
      </c>
      <c r="K3">
        <f>200*256</f>
        <v>51200</v>
      </c>
    </row>
    <row r="5" spans="2:11" ht="15" thickBot="1" x14ac:dyDescent="0.4">
      <c r="B5" t="s">
        <v>4</v>
      </c>
      <c r="C5" t="s">
        <v>5</v>
      </c>
      <c r="D5" t="s">
        <v>6</v>
      </c>
      <c r="E5" t="s">
        <v>7</v>
      </c>
      <c r="G5" t="s">
        <v>12</v>
      </c>
      <c r="H5" t="s">
        <v>13</v>
      </c>
      <c r="I5" t="s">
        <v>14</v>
      </c>
      <c r="J5" t="s">
        <v>0</v>
      </c>
      <c r="K5" t="s">
        <v>15</v>
      </c>
    </row>
    <row r="6" spans="2:11" ht="15" thickBot="1" x14ac:dyDescent="0.4">
      <c r="B6">
        <f>B3/C3</f>
        <v>6.8900000000000003E-3</v>
      </c>
      <c r="C6">
        <f>B3/C3 * 60 *24</f>
        <v>9.9215999999999998</v>
      </c>
      <c r="D6">
        <f>D3*E3</f>
        <v>0.25201612903225806</v>
      </c>
      <c r="E6">
        <f>(B3/C3)*60*24*D3*E3</f>
        <v>2.5004032258064517</v>
      </c>
      <c r="G6">
        <f>I3/H3</f>
        <v>0.25201612903225806</v>
      </c>
      <c r="H6">
        <f>G3/(I3/H3)</f>
        <v>9.92</v>
      </c>
      <c r="I6">
        <f>H6/1440</f>
        <v>6.8888888888888888E-3</v>
      </c>
      <c r="J6">
        <f>I6*J3</f>
        <v>0.13777777777777778</v>
      </c>
      <c r="K6" s="2">
        <f>(J6*K3)/60</f>
        <v>117.57037037037038</v>
      </c>
    </row>
    <row r="8" spans="2:11" x14ac:dyDescent="0.35">
      <c r="B8" t="s">
        <v>0</v>
      </c>
      <c r="C8" t="s">
        <v>11</v>
      </c>
      <c r="D8" t="s">
        <v>19</v>
      </c>
    </row>
    <row r="9" spans="2:11" x14ac:dyDescent="0.35">
      <c r="B9">
        <v>1</v>
      </c>
      <c r="C9">
        <v>51200</v>
      </c>
      <c r="D9">
        <f>(B9*C9)/(60*0.715)</f>
        <v>1193.4731934731935</v>
      </c>
      <c r="G9" t="s">
        <v>8</v>
      </c>
      <c r="H9" t="s">
        <v>16</v>
      </c>
      <c r="I9" t="s">
        <v>20</v>
      </c>
      <c r="J9" t="s">
        <v>21</v>
      </c>
    </row>
    <row r="10" spans="2:11" x14ac:dyDescent="0.35">
      <c r="G10">
        <v>0.1</v>
      </c>
      <c r="H10">
        <f>(G3*H3*J3*K3/(1440*60*0.715*I3))</f>
        <v>164.43408443408444</v>
      </c>
      <c r="I10">
        <f>(H3*J3*K3/(1440*60*0.715*I3))</f>
        <v>65.773633773633776</v>
      </c>
      <c r="J10">
        <f>I10*G10</f>
        <v>6.5773633773633779</v>
      </c>
    </row>
    <row r="12" spans="2:11" x14ac:dyDescent="0.35">
      <c r="B12" t="s">
        <v>16</v>
      </c>
      <c r="C12" t="s">
        <v>17</v>
      </c>
      <c r="D12" t="s">
        <v>18</v>
      </c>
    </row>
    <row r="13" spans="2:11" ht="15" thickBot="1" x14ac:dyDescent="0.4">
      <c r="B13">
        <v>58.8</v>
      </c>
      <c r="C13">
        <v>0.71499999999999997</v>
      </c>
      <c r="D13">
        <f>B13*C13</f>
        <v>42.041999999999994</v>
      </c>
    </row>
    <row r="14" spans="2:11" ht="15" thickBot="1" x14ac:dyDescent="0.4">
      <c r="B14" s="2">
        <f>D14/C14</f>
        <v>164.43408443408447</v>
      </c>
      <c r="C14">
        <v>0.71499999999999997</v>
      </c>
      <c r="D14">
        <f>K6</f>
        <v>117.57037037037038</v>
      </c>
      <c r="G14">
        <f>4.96/(1.25*20)</f>
        <v>0.19839999999999999</v>
      </c>
    </row>
    <row r="22" spans="5:7" x14ac:dyDescent="0.35">
      <c r="E22" s="1"/>
      <c r="F22" s="1"/>
      <c r="G22" s="1"/>
    </row>
    <row r="23" spans="5:7" x14ac:dyDescent="0.35">
      <c r="E23" s="1"/>
      <c r="F23" s="1"/>
      <c r="G23" s="1"/>
    </row>
    <row r="24" spans="5:7" x14ac:dyDescent="0.35">
      <c r="E24" s="1"/>
      <c r="F24" s="1"/>
      <c r="G24" s="1"/>
    </row>
    <row r="25" spans="5:7" x14ac:dyDescent="0.35">
      <c r="E25" s="1"/>
      <c r="F25" s="1"/>
      <c r="G25" s="1"/>
    </row>
    <row r="26" spans="5:7" x14ac:dyDescent="0.35">
      <c r="E26" s="1"/>
      <c r="F26" s="1"/>
      <c r="G26" s="1"/>
    </row>
    <row r="27" spans="5:7" x14ac:dyDescent="0.35">
      <c r="E27" s="1"/>
      <c r="F27" s="1"/>
      <c r="G27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Ramzan Jamali</dc:creator>
  <cp:lastModifiedBy>Ramzan Jamali</cp:lastModifiedBy>
  <dcterms:created xsi:type="dcterms:W3CDTF">2015-06-05T18:19:34Z</dcterms:created>
  <dcterms:modified xsi:type="dcterms:W3CDTF">2025-07-16T13:42:30Z</dcterms:modified>
</cp:coreProperties>
</file>