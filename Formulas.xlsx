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94F44F14-4AB7-4575-814F-BE1B1BC80F4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1" l="1"/>
  <c r="G14" i="1"/>
  <c r="I10" i="1"/>
  <c r="J10" i="1" s="1"/>
  <c r="H10" i="1"/>
  <c r="D9" i="1"/>
  <c r="K3" i="1"/>
  <c r="D13" i="1"/>
  <c r="H6" i="1"/>
  <c r="I6" i="1" s="1"/>
  <c r="J6" i="1" s="1"/>
  <c r="G6" i="1"/>
  <c r="E3" i="1"/>
  <c r="D6" i="1" s="1"/>
  <c r="C6" i="1"/>
  <c r="B6" i="1"/>
  <c r="K6" i="1" l="1"/>
  <c r="D14" i="1" s="1"/>
  <c r="B14" i="1" s="1"/>
  <c r="E6" i="1"/>
</calcChain>
</file>

<file path=xl/sharedStrings.xml><?xml version="1.0" encoding="utf-8"?>
<sst xmlns="http://schemas.openxmlformats.org/spreadsheetml/2006/main" count="31" uniqueCount="25">
  <si>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</si>
  <si>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</si>
  <si>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</si>
  <si>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</si>
  <si>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</si>
  <si>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</si>
  <si>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</si>
  <si>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</si>
  <si>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</si>
  <si>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</si>
  <si>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</si>
  <si>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</si>
  <si>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</si>
  <si>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</si>
  <si>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</si>
  <si>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</si>
  <si>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</si>
  <si>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</si>
  <si>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</si>
  <si>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</si>
  <si>
    <t>Constant</t>
  </si>
  <si>
    <t>Verification_Microsteps_Period</t>
  </si>
  <si>
    <t>Minutes</t>
  </si>
  <si>
    <t>Volume Perfused (mL)</t>
  </si>
  <si>
    <t>Volume 24h (mL)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</si>
</sst>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AF5087-8ABB-420B-8C31-A9741B7AC79D}" name="Table4" displayName="Table4" ref="G16:I17" totalsRowShown="0">
  <autoFilter ref="G16:I17" xr:uid="{ADAF5087-8ABB-420B-8C31-A9741B7AC79D}"/>
  <tableColumns count="3">
    <tableColumn id="1" xr3:uid="{BC5BE08D-92E9-4ED1-A365-3D171FE472C1}" name="Volume Perfused (mL)"/>
    <tableColumn id="2" xr3:uid="{CB57C366-D734-4B33-832B-C02CC80790AF}" name="Minutes"/>
    <tableColumn id="3" xr3:uid="{7BE87FF3-5F4A-4DF0-9706-CBC924F75ECA}" name="Volume 24h (mL)">
      <calculatedColumnFormula>G17*1440/H17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8C273D-3CF8-4253-B808-4A3E1E13412E}" name="Table5" displayName="Table5" ref="G9:J10" totalsRowShown="0">
  <autoFilter ref="G9:J10" xr:uid="{738C273D-3CF8-4253-B808-4A3E1E13412E}"/>
  <tableColumns count="4">
    <tableColumn id="1" xr3:uid="{712D2897-2D76-4BC9-B598-55180B1E6D7D}" name="Desired_Flow (mL_per_Day)"/>
    <tableColumn id="2" xr3:uid="{A4D626CD-F64B-4CB9-BC93-B630EBAAA663}" name="Microsteps_period">
      <calculatedColumnFormula>(G3*H3*J3*K3/(1440*60*0.715*I3))</calculatedColumnFormula>
    </tableColumn>
    <tableColumn id="3" xr3:uid="{198AF71D-817F-4B1F-9ACF-6FA4A4A0C9B9}" name="Constant">
      <calculatedColumnFormula>(H3*J3*K3/(1440*60*0.715*I3))</calculatedColumnFormula>
    </tableColumn>
    <tableColumn id="4" xr3:uid="{9155F3DD-DCD3-4AD3-890B-1C6ECF52BE22}" name="Verification_Microsteps_Period">
      <calculatedColumnFormula>I10*G10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8EF56-56AF-480D-B5CA-82721F682C64}" name="Table6" displayName="Table6" ref="B8:D9" totalsRowShown="0">
  <autoFilter ref="B8:D9" xr:uid="{8528EF56-56AF-480D-B5CA-82721F682C64}"/>
  <tableColumns count="3">
    <tableColumn id="1" xr3:uid="{1901AE87-C543-460F-9299-F61BBCA4294C}" name="Motor_RPM"/>
    <tableColumn id="2" xr3:uid="{B12B22C6-DB86-4BC6-9744-CE33599A6746}" name="Motor_Steps_per_Revo"/>
    <tableColumn id="3" xr3:uid="{C92159EF-32B7-423E-9A09-14F8802E84F8}" name="Microsteps_Period">
      <calculatedColumnFormula>(B9*C9)/(60*0.715)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7"/>
  <sheetViews>
    <sheetView tabSelected="1" zoomScale="115" zoomScaleNormal="115" workbookViewId="0">
      <selection activeCell="F13" sqref="F13"/>
    </sheetView>
  </sheetViews>
  <sheetFormatPr defaultRowHeight="14.5" x14ac:dyDescent="0.35"/>
  <cols>
    <col min="2" max="2" width="18.453125" customWidth="1"/>
    <col min="3" max="3" width="22.453125" customWidth="1"/>
    <col min="4" max="4" width="23.81640625" customWidth="1"/>
    <col min="5" max="5" width="20.6328125" customWidth="1"/>
    <col min="6" max="6" width="17.54296875" customWidth="1"/>
    <col min="7" max="7" width="26.26953125" customWidth="1"/>
    <col min="8" max="8" width="22.1796875" customWidth="1"/>
    <col min="9" max="9" width="27.08984375" customWidth="1"/>
    <col min="10" max="10" width="28.8164062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0.13780000000000001</v>
      </c>
      <c r="C3">
        <v>20</v>
      </c>
      <c r="D3">
        <v>1.25</v>
      </c>
      <c r="E3">
        <f>1/4.96</f>
        <v>0.20161290322580647</v>
      </c>
      <c r="G3">
        <v>2.5</v>
      </c>
      <c r="H3">
        <v>4.96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6.8900000000000003E-3</v>
      </c>
      <c r="C6">
        <f>B3/C3 * 60 *24</f>
        <v>9.9215999999999998</v>
      </c>
      <c r="D6">
        <f>D3*E3</f>
        <v>0.25201612903225806</v>
      </c>
      <c r="E6">
        <f>(B3/C3)*60*24*D3*E3</f>
        <v>2.5004032258064517</v>
      </c>
      <c r="G6">
        <f>I3/H3</f>
        <v>0.25201612903225806</v>
      </c>
      <c r="H6">
        <f>G3/(I3/H3)</f>
        <v>9.92</v>
      </c>
      <c r="I6">
        <f>H6/1440</f>
        <v>6.8888888888888888E-3</v>
      </c>
      <c r="J6">
        <f>I6*J3</f>
        <v>0.13777777777777778</v>
      </c>
      <c r="K6" s="2">
        <f>(J6*K3)/60</f>
        <v>117.57037037037038</v>
      </c>
    </row>
    <row r="8" spans="2:11" x14ac:dyDescent="0.35">
      <c r="B8" t="s">
        <v>0</v>
      </c>
      <c r="C8" t="s">
        <v>11</v>
      </c>
      <c r="D8" t="s">
        <v>19</v>
      </c>
    </row>
    <row r="9" spans="2:11" x14ac:dyDescent="0.35">
      <c r="B9">
        <v>1</v>
      </c>
      <c r="C9">
        <v>51200</v>
      </c>
      <c r="D9">
        <f>(B9*C9)/(60*0.715)</f>
        <v>1193.4731934731935</v>
      </c>
      <c r="G9" t="s">
        <v>8</v>
      </c>
      <c r="H9" t="s">
        <v>16</v>
      </c>
      <c r="I9" t="s">
        <v>20</v>
      </c>
      <c r="J9" t="s">
        <v>21</v>
      </c>
    </row>
    <row r="10" spans="2:11" x14ac:dyDescent="0.35">
      <c r="G10">
        <v>0.1</v>
      </c>
      <c r="H10">
        <f>(G3*H3*J3*K3/(1440*60*0.715*I3))</f>
        <v>164.43408443408444</v>
      </c>
      <c r="I10">
        <f>(H3*J3*K3/(1440*60*0.715*I3))</f>
        <v>65.773633773633776</v>
      </c>
      <c r="J10">
        <f>I10*G10</f>
        <v>6.5773633773633779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164.43408443408447</v>
      </c>
      <c r="C14">
        <v>0.71499999999999997</v>
      </c>
      <c r="D14">
        <f>K6</f>
        <v>117.57037037037038</v>
      </c>
      <c r="G14">
        <f>4.96/(1.25*20)</f>
        <v>0.19839999999999999</v>
      </c>
    </row>
    <row r="16" spans="2:11" x14ac:dyDescent="0.35">
      <c r="G16" t="s">
        <v>23</v>
      </c>
      <c r="H16" t="s">
        <v>22</v>
      </c>
      <c r="I16" t="s">
        <v>24</v>
      </c>
    </row>
    <row r="17" spans="5:9" x14ac:dyDescent="0.35">
      <c r="G17">
        <v>0.18</v>
      </c>
      <c r="H17">
        <v>102</v>
      </c>
      <c r="I17">
        <f>G17*1440/H17</f>
        <v>2.5411764705882351</v>
      </c>
    </row>
    <row r="22" spans="5:9" x14ac:dyDescent="0.35">
      <c r="E22" s="1"/>
      <c r="F22" s="1"/>
      <c r="G22" s="1"/>
    </row>
    <row r="23" spans="5:9" x14ac:dyDescent="0.35">
      <c r="E23" s="1"/>
      <c r="F23" s="1"/>
      <c r="G23" s="1"/>
    </row>
    <row r="24" spans="5:9" x14ac:dyDescent="0.35">
      <c r="E24" s="1"/>
      <c r="F24" s="1"/>
      <c r="G24" s="1"/>
    </row>
    <row r="25" spans="5:9" x14ac:dyDescent="0.35">
      <c r="E25" s="1"/>
      <c r="F25" s="1"/>
      <c r="G25" s="1"/>
    </row>
    <row r="26" spans="5:9" x14ac:dyDescent="0.35">
      <c r="E26" s="1"/>
      <c r="F26" s="1"/>
      <c r="G26" s="1"/>
    </row>
    <row r="27" spans="5:9" x14ac:dyDescent="0.35">
      <c r="E27" s="1"/>
      <c r="F27" s="1"/>
      <c r="G27" s="1"/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2025-07-21T11:27:45Z</dcterms:modified>
</cp:coreProperties>
</file>