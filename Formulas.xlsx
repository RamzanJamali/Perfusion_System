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ramza\Downloads\Perfusion_System\"/>
    </mc:Choice>
  </mc:AlternateContent>
  <xr:revisionPtr revIDLastSave="0" documentId="13_ncr:1_{7DBE28F9-E8EC-41E6-AAA9-FD599AA7E6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D25" i="1"/>
  <c r="D28" i="1" s="1"/>
  <c r="E28" i="1" s="1"/>
  <c r="F28" i="1" s="1"/>
  <c r="G28" i="1" s="1"/>
  <c r="H28" i="1" s="1"/>
  <c r="I28" i="1" s="1"/>
  <c r="D6" i="1"/>
  <c r="I17" i="1"/>
  <c r="G14" i="1"/>
  <c r="I10" i="1"/>
  <c r="J10" i="1" s="1"/>
  <c r="H10" i="1"/>
  <c r="K3" i="1"/>
  <c r="D13" i="1"/>
  <c r="H6" i="1"/>
  <c r="I6" i="1" s="1"/>
  <c r="J6" i="1" s="1"/>
  <c r="G6" i="1"/>
  <c r="C6" i="1"/>
  <c r="B6" i="1"/>
  <c r="E25" i="1" l="1"/>
  <c r="G25" i="1" s="1"/>
  <c r="K6" i="1"/>
  <c r="D14" i="1" s="1"/>
  <c r="B14" i="1" s="1"/>
  <c r="E6" i="1"/>
</calcChain>
</file>

<file path=xl/sharedStrings.xml><?xml version="1.0" encoding="utf-8"?>
<sst xmlns="http://schemas.openxmlformats.org/spreadsheetml/2006/main" count="43" uniqueCount="36">
  <si>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</si>
  <si>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</si>
  <si>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</si>
  <si>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</si>
  <si>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</si>
  <si>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</si>
  <si>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</si>
  <si>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</si>
  <si>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</si>
  <si>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</si>
  <si>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</si>
  <si>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</si>
  <si>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</si>
  <si>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</si>
  <si>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</si>
  <si>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</si>
  <si>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</si>
  <si>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</si>
  <si>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</si>
  <si>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</si>
  <si>
    <t>Constant</t>
  </si>
  <si>
    <t>Verification_Microsteps_Period</t>
  </si>
  <si>
    <t>Minutes</t>
  </si>
  <si>
    <t>Volume Perfused (mL)</t>
  </si>
  <si>
    <t>Volume 24h (mL)</t>
  </si>
  <si>
    <t>1 Rotation distance (mm)</t>
  </si>
  <si>
    <t>Inner-Radius (mm)</t>
  </si>
  <si>
    <t>Rotations per mL</t>
  </si>
  <si>
    <t>Volume per Day (mL)</t>
  </si>
  <si>
    <t>Rotations requered per day</t>
  </si>
  <si>
    <t>Volume per Rotation (mL/rot)</t>
  </si>
  <si>
    <t>mm per mL</t>
  </si>
  <si>
    <t>Rotations per Day</t>
  </si>
  <si>
    <t>motor rpm</t>
  </si>
  <si>
    <t>steps per sec</t>
  </si>
  <si>
    <t>microsteps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</si>
</sst>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164" fontId="0" fillId="0" borderId="0" xfId="0" applyNumberFormat="1"/>
  </cellXfs>
  <cellStyles count="1">
    <cellStyle name="Normal" xfId="0" builtinId="0"/>
  </cellStyles>
  <dxfs count="2">
    <dxf>
      <fill>
        <patternFill patternType="none">
          <fgColor indexed="64"/>
          <bgColor indexed="65"/>
        </patternFill>
      </fill>
    </dxf>
    <dxf>
      <numFmt numFmtId="164" formatCode="0.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AF5087-8ABB-420B-8C31-A9741B7AC79D}" name="Table4" displayName="Table4" ref="G16:I17" totalsRowShown="0">
  <autoFilter ref="G16:I17" xr:uid="{ADAF5087-8ABB-420B-8C31-A9741B7AC79D}"/>
  <tableColumns count="3">
    <tableColumn id="1" xr3:uid="{BC5BE08D-92E9-4ED1-A365-3D171FE472C1}" name="Volume Perfused (mL)"/>
    <tableColumn id="2" xr3:uid="{CB57C366-D734-4B33-832B-C02CC80790AF}" name="Minutes"/>
    <tableColumn id="3" xr3:uid="{7BE87FF3-5F4A-4DF0-9706-CBC924F75ECA}" name="Volume 24h (mL)">
      <calculatedColumnFormula>G17*1440/H17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8C273D-3CF8-4253-B808-4A3E1E13412E}" name="Table5" displayName="Table5" ref="G9:J11" totalsRowCount="1">
  <autoFilter ref="G9:J10" xr:uid="{738C273D-3CF8-4253-B808-4A3E1E13412E}"/>
  <tableColumns count="4">
    <tableColumn id="1" xr3:uid="{712D2897-2D76-4BC9-B598-55180B1E6D7D}" name="Desired_Flow (mL_per_Day)"/>
    <tableColumn id="2" xr3:uid="{A4D626CD-F64B-4CB9-BC93-B630EBAAA663}" name="Microsteps_period">
      <calculatedColumnFormula>(G3*H3*J3*K3/(1440*60*0.715*I3))</calculatedColumnFormula>
    </tableColumn>
    <tableColumn id="3" xr3:uid="{198AF71D-817F-4B1F-9ACF-6FA4A4A0C9B9}" name="Constant">
      <calculatedColumnFormula>(H3*J3*K3/(1440*60*0.715*I3))</calculatedColumnFormula>
    </tableColumn>
    <tableColumn id="4" xr3:uid="{9155F3DD-DCD3-4AD3-890B-1C6ECF52BE22}" name="Verification_Microsteps_Period">
      <calculatedColumnFormula>I10*G10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8EF56-56AF-480D-B5CA-82721F682C64}" name="Table6" displayName="Table6" ref="B8:D9" totalsRowShown="0">
  <autoFilter ref="B8:D9" xr:uid="{8528EF56-56AF-480D-B5CA-82721F682C64}"/>
  <tableColumns count="3">
    <tableColumn id="1" xr3:uid="{1901AE87-C543-460F-9299-F61BBCA4294C}" name="Motor_RPM"/>
    <tableColumn id="2" xr3:uid="{B12B22C6-DB86-4BC6-9744-CE33599A6746}" name="Motor_Steps_per_Revo"/>
    <tableColumn id="3" xr3:uid="{C92159EF-32B7-423E-9A09-14F8802E84F8}" name="Microsteps_Period">
      <calculatedColumnFormula>(B9*C9)/(60*0.71525)</calculatedColumnFormula>
    </tableColumn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87B3BE-58E7-4EA7-AFA2-5D40D41F47DC}" name="Table7" displayName="Table7" ref="B24:G25" totalsRowShown="0">
  <autoFilter ref="B24:G25" xr:uid="{7387B3BE-58E7-4EA7-AFA2-5D40D41F47DC}"/>
  <tableColumns count="6">
    <tableColumn id="1" xr3:uid="{F9C8E740-AD58-4C81-B470-DB308309C8CA}" name="1 Rotation distance (mm)"/>
    <tableColumn id="2" xr3:uid="{D43C6EEA-5A04-40B2-A4F7-F4DACF10486E}" name="Inner-Radius (mm)"/>
    <tableColumn id="3" xr3:uid="{FC643971-5597-4662-9C63-6F60D0E2C3FF}" name="mm per mL">
      <calculatedColumnFormula>1000/(3.14159*(POWER(C25,2)))</calculatedColumnFormula>
    </tableColumn>
    <tableColumn id="4" xr3:uid="{57EBB1A5-463C-4AC2-B3D5-56767D31549E}" name="Rotations per mL">
      <calculatedColumnFormula>D25/B25</calculatedColumnFormula>
    </tableColumn>
    <tableColumn id="5" xr3:uid="{3BBE06F6-454D-482C-A49E-CE70427AAF44}" name="Volume per Day (mL)"/>
    <tableColumn id="6" xr3:uid="{F812E8BA-C3BB-49BE-9CEA-F4D85AF8551F}" name="Rotations requered per day" dataDxfId="1">
      <calculatedColumnFormula>E25*F25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367A4-7E54-469D-A9E4-F44764D82BEF}" name="Table8" displayName="Table8" ref="D27:I28" totalsRowShown="0" headerRowDxfId="0">
  <autoFilter ref="D27:I28" xr:uid="{B7D367A4-7E54-469D-A9E4-F44764D82BEF}"/>
  <tableColumns count="6">
    <tableColumn id="1" xr3:uid="{A6C0BB03-5867-4013-885C-1D5FCF83F555}" name="Volume per Rotation (mL/rot)">
      <calculatedColumnFormula>B25/D25</calculatedColumnFormula>
    </tableColumn>
    <tableColumn id="2" xr3:uid="{8E186B87-3370-4994-9B85-7382A69DAC75}" name="Rotations per Day">
      <calculatedColumnFormula>F25/D28</calculatedColumnFormula>
    </tableColumn>
    <tableColumn id="3" xr3:uid="{CCD0E4F0-F77A-416B-9CDB-59206E7D6697}" name="motor rpm">
      <calculatedColumnFormula>E28/1440*20</calculatedColumnFormula>
    </tableColumn>
    <tableColumn id="4" xr3:uid="{AD866146-2488-4CF5-B748-24CD3C88547C}" name="steps per sec">
      <calculatedColumnFormula>(F28*K3)/60</calculatedColumnFormula>
    </tableColumn>
    <tableColumn id="5" xr3:uid="{62718193-0B05-49C1-90C1-FBF13473BA55}" name="microsteps period">
      <calculatedColumnFormula>G28/C14</calculatedColumnFormula>
    </tableColumn>
    <tableColumn id="6" xr3:uid="{E2EE6A37-4F3D-4758-A497-4E6331BAE570}" name="Constant">
      <calculatedColumnFormula>H28/F25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8"/>
  <sheetViews>
    <sheetView tabSelected="1" zoomScale="115" zoomScaleNormal="115" workbookViewId="0">
      <selection activeCell="B3" sqref="B3"/>
    </sheetView>
  </sheetViews>
  <sheetFormatPr defaultRowHeight="15" x14ac:dyDescent="0.25"/>
  <cols>
    <col min="2" max="2" width="22.85546875" customWidth="1"/>
    <col min="3" max="3" width="22.42578125" customWidth="1"/>
    <col min="4" max="4" width="26.42578125" customWidth="1"/>
    <col min="5" max="5" width="20.5703125" customWidth="1"/>
    <col min="6" max="6" width="19.42578125" customWidth="1"/>
    <col min="7" max="7" width="26.28515625" customWidth="1"/>
    <col min="8" max="8" width="22.140625" customWidth="1"/>
    <col min="9" max="9" width="27.140625" customWidth="1"/>
    <col min="10" max="10" width="28.85546875" customWidth="1"/>
    <col min="11" max="11" width="22.42578125" customWidth="1"/>
  </cols>
  <sheetData>
    <row r="2" spans="2:11" x14ac:dyDescent="0.2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25">
      <c r="B3">
        <v>0.14499999999999999</v>
      </c>
      <c r="C3">
        <v>20</v>
      </c>
      <c r="D3">
        <v>1.25</v>
      </c>
      <c r="E3">
        <v>0.19800000000000001</v>
      </c>
      <c r="G3">
        <v>2.5</v>
      </c>
      <c r="H3">
        <v>5.04</v>
      </c>
      <c r="I3">
        <v>1.25</v>
      </c>
      <c r="J3">
        <v>20</v>
      </c>
      <c r="K3">
        <f>200*256</f>
        <v>51200</v>
      </c>
    </row>
    <row r="5" spans="2:11" ht="15.75" thickBot="1" x14ac:dyDescent="0.3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.75" thickBot="1" x14ac:dyDescent="0.3">
      <c r="B6">
        <f>B3/C3</f>
        <v>7.2499999999999995E-3</v>
      </c>
      <c r="C6">
        <f>B3/C3 * 60 *24</f>
        <v>10.439999999999998</v>
      </c>
      <c r="D6">
        <f>D3*E3</f>
        <v>0.2475</v>
      </c>
      <c r="E6">
        <f>(B3/C3)*60*24*D3*E3</f>
        <v>2.5838999999999994</v>
      </c>
      <c r="G6">
        <f>I3/H3</f>
        <v>0.24801587301587302</v>
      </c>
      <c r="H6">
        <f>G3/(I3/H3)</f>
        <v>10.08</v>
      </c>
      <c r="I6">
        <f>H6/1440</f>
        <v>7.0000000000000001E-3</v>
      </c>
      <c r="J6">
        <f>I6*J3</f>
        <v>0.14000000000000001</v>
      </c>
      <c r="K6" s="1">
        <f>(J6*K3)/60</f>
        <v>119.46666666666668</v>
      </c>
    </row>
    <row r="8" spans="2:11" x14ac:dyDescent="0.25">
      <c r="B8" t="s">
        <v>0</v>
      </c>
      <c r="C8" t="s">
        <v>11</v>
      </c>
      <c r="D8" t="s">
        <v>19</v>
      </c>
    </row>
    <row r="9" spans="2:11" x14ac:dyDescent="0.25">
      <c r="B9">
        <v>0.14000000000000001</v>
      </c>
      <c r="C9">
        <v>51200</v>
      </c>
      <c r="D9">
        <f>(B9*C9)/(60*0.71525)</f>
        <v>167.02784574158218</v>
      </c>
      <c r="G9" t="s">
        <v>8</v>
      </c>
      <c r="H9" t="s">
        <v>16</v>
      </c>
      <c r="I9" t="s">
        <v>20</v>
      </c>
      <c r="J9" t="s">
        <v>21</v>
      </c>
    </row>
    <row r="10" spans="2:11" x14ac:dyDescent="0.25">
      <c r="G10">
        <v>2.5</v>
      </c>
      <c r="H10">
        <f>(G3*H3*J3*K3/(1440*60*0.715*I3))</f>
        <v>167.08624708624708</v>
      </c>
      <c r="I10">
        <f>(H3*J3*K3/(1440*60*0.715*I3))</f>
        <v>66.834498834498831</v>
      </c>
      <c r="J10">
        <f>I10*G10</f>
        <v>167.08624708624708</v>
      </c>
    </row>
    <row r="12" spans="2:11" x14ac:dyDescent="0.25">
      <c r="B12" t="s">
        <v>16</v>
      </c>
      <c r="C12" t="s">
        <v>17</v>
      </c>
      <c r="D12" t="s">
        <v>18</v>
      </c>
    </row>
    <row r="13" spans="2:11" ht="15.75" thickBot="1" x14ac:dyDescent="0.3">
      <c r="B13">
        <v>58.8</v>
      </c>
      <c r="C13">
        <v>0.71499999999999997</v>
      </c>
      <c r="D13">
        <f>B13*C13</f>
        <v>42.041999999999994</v>
      </c>
    </row>
    <row r="14" spans="2:11" ht="15.75" thickBot="1" x14ac:dyDescent="0.3">
      <c r="B14" s="1">
        <f>D14/C14</f>
        <v>167.08624708624711</v>
      </c>
      <c r="C14">
        <v>0.71499999999999997</v>
      </c>
      <c r="D14">
        <f>K6</f>
        <v>119.46666666666668</v>
      </c>
      <c r="G14">
        <f>4.96/(1.25*20)</f>
        <v>0.19839999999999999</v>
      </c>
    </row>
    <row r="16" spans="2:11" x14ac:dyDescent="0.25">
      <c r="G16" t="s">
        <v>23</v>
      </c>
      <c r="H16" t="s">
        <v>22</v>
      </c>
      <c r="I16" t="s">
        <v>24</v>
      </c>
    </row>
    <row r="17" spans="2:9" x14ac:dyDescent="0.25">
      <c r="G17">
        <v>0.18</v>
      </c>
      <c r="H17">
        <v>102</v>
      </c>
      <c r="I17">
        <f>G17*1440/H17</f>
        <v>2.5411764705882351</v>
      </c>
    </row>
    <row r="24" spans="2:9" x14ac:dyDescent="0.25">
      <c r="B24" t="s">
        <v>25</v>
      </c>
      <c r="C24" t="s">
        <v>26</v>
      </c>
      <c r="D24" t="s">
        <v>31</v>
      </c>
      <c r="E24" t="s">
        <v>27</v>
      </c>
      <c r="F24" t="s">
        <v>28</v>
      </c>
      <c r="G24" t="s">
        <v>29</v>
      </c>
    </row>
    <row r="25" spans="2:9" x14ac:dyDescent="0.25">
      <c r="B25">
        <v>1.25</v>
      </c>
      <c r="C25">
        <v>7.95</v>
      </c>
      <c r="D25">
        <f>1000/(3.14159*(POWER(C25,2)))</f>
        <v>5.0363538633578822</v>
      </c>
      <c r="E25">
        <f>D25/B25</f>
        <v>4.0290830906863055</v>
      </c>
      <c r="F25">
        <v>2.5</v>
      </c>
      <c r="G25" s="2">
        <f>E25*F25</f>
        <v>10.072707726715764</v>
      </c>
    </row>
    <row r="27" spans="2:9" x14ac:dyDescent="0.25">
      <c r="D27" t="s">
        <v>30</v>
      </c>
      <c r="E27" t="s">
        <v>32</v>
      </c>
      <c r="F27" t="s">
        <v>33</v>
      </c>
      <c r="G27" t="s">
        <v>34</v>
      </c>
      <c r="H27" t="s">
        <v>35</v>
      </c>
      <c r="I27" t="s">
        <v>20</v>
      </c>
    </row>
    <row r="28" spans="2:9" x14ac:dyDescent="0.25">
      <c r="D28">
        <f>B25/D25</f>
        <v>0.24819542746874998</v>
      </c>
      <c r="E28">
        <f>F25/D28</f>
        <v>10.072707726715764</v>
      </c>
      <c r="F28">
        <f>E28/1440*20</f>
        <v>0.13989871842660784</v>
      </c>
      <c r="G28">
        <f>(F28*K3)/60</f>
        <v>119.38023972403867</v>
      </c>
      <c r="H28">
        <f>G28/C14</f>
        <v>166.96537024341075</v>
      </c>
      <c r="I28">
        <f>H28/F25</f>
        <v>66.786148097364304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2025-10-22T12:17:51Z</dcterms:modified>
</cp:coreProperties>
</file>