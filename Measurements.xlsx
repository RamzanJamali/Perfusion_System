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5DCB79E0-90D0-40BD-A2B8-EFDB4E9F9ED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Cornea Measur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5" i="1" l="1"/>
  <c r="O65" i="1" s="1"/>
  <c r="R65" i="1" s="1"/>
  <c r="S65" i="1" s="1"/>
  <c r="P65" i="1"/>
  <c r="T65" i="1" s="1"/>
  <c r="U65" i="1" s="1"/>
  <c r="Q65" i="1"/>
  <c r="N15" i="2"/>
  <c r="M15" i="2"/>
  <c r="M14" i="2"/>
  <c r="L15" i="2"/>
  <c r="K15" i="2"/>
  <c r="I15" i="2"/>
  <c r="H15" i="2"/>
  <c r="M19" i="2"/>
  <c r="M20" i="2"/>
  <c r="M21" i="2"/>
  <c r="M18" i="2"/>
  <c r="N21" i="2" s="1"/>
  <c r="L21" i="2"/>
  <c r="I21" i="2"/>
  <c r="H21" i="2"/>
  <c r="I20" i="2"/>
  <c r="H20" i="2"/>
  <c r="I18" i="2"/>
  <c r="K21" i="2" s="1"/>
  <c r="H18" i="2"/>
  <c r="I14" i="2"/>
  <c r="H14" i="2"/>
  <c r="T63" i="1"/>
  <c r="N63" i="1"/>
  <c r="O63" i="1" s="1"/>
  <c r="R63" i="1" s="1"/>
  <c r="P63" i="1"/>
  <c r="Q63" i="1"/>
  <c r="N64" i="1"/>
  <c r="O64" i="1" s="1"/>
  <c r="R64" i="1" s="1"/>
  <c r="P64" i="1"/>
  <c r="T64" i="1" s="1"/>
  <c r="Q64" i="1"/>
  <c r="N62" i="1"/>
  <c r="O62" i="1" s="1"/>
  <c r="R62" i="1" s="1"/>
  <c r="P62" i="1"/>
  <c r="Q62" i="1"/>
  <c r="T62" i="1"/>
  <c r="U62" i="1" s="1"/>
  <c r="T60" i="1"/>
  <c r="N60" i="1"/>
  <c r="O60" i="1" s="1"/>
  <c r="R60" i="1" s="1"/>
  <c r="S60" i="1" s="1"/>
  <c r="P60" i="1"/>
  <c r="Q60" i="1"/>
  <c r="N61" i="1"/>
  <c r="O61" i="1" s="1"/>
  <c r="R61" i="1" s="1"/>
  <c r="S61" i="1" s="1"/>
  <c r="P61" i="1"/>
  <c r="T61" i="1" s="1"/>
  <c r="Q61" i="1"/>
  <c r="T59" i="1"/>
  <c r="T58" i="1"/>
  <c r="U64" i="1" l="1"/>
  <c r="S64" i="1"/>
  <c r="U63" i="1"/>
  <c r="S63" i="1"/>
  <c r="S62" i="1"/>
  <c r="U61" i="1"/>
  <c r="U60" i="1"/>
  <c r="N58" i="1"/>
  <c r="O58" i="1" s="1"/>
  <c r="R58" i="1" s="1"/>
  <c r="P58" i="1"/>
  <c r="Q58" i="1"/>
  <c r="N59" i="1"/>
  <c r="O59" i="1" s="1"/>
  <c r="R59" i="1" s="1"/>
  <c r="P59" i="1"/>
  <c r="Q59" i="1"/>
  <c r="T57" i="1"/>
  <c r="N57" i="1"/>
  <c r="O57" i="1" s="1"/>
  <c r="R57" i="1" s="1"/>
  <c r="P57" i="1"/>
  <c r="Q57" i="1"/>
  <c r="N56" i="1"/>
  <c r="O56" i="1" s="1"/>
  <c r="R56" i="1" s="1"/>
  <c r="S56" i="1" s="1"/>
  <c r="P56" i="1"/>
  <c r="T56" i="1" s="1"/>
  <c r="U56" i="1" s="1"/>
  <c r="Q56" i="1"/>
  <c r="T55" i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9" i="1" l="1"/>
  <c r="U58" i="1"/>
  <c r="S59" i="1"/>
  <c r="S58" i="1"/>
  <c r="U57" i="1"/>
  <c r="S57" i="1"/>
  <c r="U55" i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<sst xmlns="http://schemas.openxmlformats.org/spreadsheetml/2006/main" count="61" uniqueCount="39">
  <si>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</si>
  <si>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</si>
  <si>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</si>
  <si>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</si>
  <si>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</si>
  <si>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</si>
  <si>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</si>
  <si>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</si>
  <si>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</si>
  <si>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</si>
  <si>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</si>
  <si>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</si>
  <si>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</si>
  <si>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</si>
  <si>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</si>
  <si>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</si>
  <si>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</si>
  <si>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</si>
  <si>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</si>
  <si>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</si>
  <si>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</si>
  <si>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</si>
  <si>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</si>
  <si>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</si>
  <si>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</si>
  <si>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</si>
  <si>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</si>
  <si>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</si>
  <si>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</si>
  <si>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</si>
  <si>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</si>
  <si>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</si>
  <si>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</si>
  <si>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</si>
  <si>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</si>
  <si>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</si>
  <si>
    <t>66.25 Valve not connected</t>
  </si>
  <si>
    <t>68.46 Valve not connected</t>
  </si>
  <si>
    <t>This Cornea was Contaminated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</si>
</sst>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theme="6" tint="0.79998168889431442"/>
        <bgColor theme="6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  <xf numFmtId="0" fontId="8" fillId="4" borderId="0" applyNumberFormat="0" applyBorder="0" applyAlignment="0" applyProtection="0"/>
  </cellStyleXfs>
  <cellXfs count="16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  <xf numFmtId="46" fontId="2" fillId="5" borderId="4" xfId="0" applyNumberFormat="1" applyFont="1" applyFill="1" applyBorder="1"/>
    <xf numFmtId="21" fontId="0" fillId="0" borderId="0" xfId="0" applyNumberFormat="1"/>
    <xf numFmtId="0" fontId="8" fillId="4" borderId="3" xfId="4" applyBorder="1"/>
  </cellXfs>
  <cellStyles count="5">
    <cellStyle name="Bad" xfId="4" builtinId="27"/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65" totalsRowShown="0">
  <autoFilter ref="A3:K65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65"/>
  <sheetViews>
    <sheetView tabSelected="1" topLeftCell="A21" zoomScaleNormal="100" workbookViewId="0">
      <selection activeCell="J67" sqref="J67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3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K55" t="s">
        <v>36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  <row r="56" spans="1:21" x14ac:dyDescent="0.35">
      <c r="A56">
        <v>53</v>
      </c>
      <c r="D56">
        <v>0</v>
      </c>
      <c r="E56">
        <v>0</v>
      </c>
      <c r="F56" s="6">
        <v>45923.724999999999</v>
      </c>
      <c r="G56" s="6">
        <v>45925.472916666666</v>
      </c>
      <c r="H56">
        <v>8.5</v>
      </c>
      <c r="I56">
        <v>4.3</v>
      </c>
      <c r="J56">
        <v>2.5</v>
      </c>
      <c r="K56" t="s">
        <v>36</v>
      </c>
      <c r="N56" s="3">
        <f t="shared" ref="N56" si="160">G56-F56</f>
        <v>1.7479166666671517</v>
      </c>
      <c r="O56" s="4">
        <f t="shared" ref="O56" si="161">N56</f>
        <v>1.7479166666671517</v>
      </c>
      <c r="P56" s="5">
        <f t="shared" ref="P56" si="162">H56-I56</f>
        <v>4.2</v>
      </c>
      <c r="Q56" s="1">
        <f t="shared" ref="Q56" si="163">ABS((E56-D56)/0.9982)</f>
        <v>0</v>
      </c>
      <c r="R56" s="5">
        <f t="shared" ref="R56" si="164">J56*O56</f>
        <v>4.3697916666678793</v>
      </c>
      <c r="S56">
        <f t="shared" ref="S56" si="165">(1-ABS(Q56-R56)/R56)*100</f>
        <v>0</v>
      </c>
      <c r="T56" s="1">
        <f>P56*1440/2517</f>
        <v>2.402860548271752</v>
      </c>
      <c r="U56" s="7">
        <f t="shared" ref="U56" si="166">(1-ABS(T56-J56)/J56)*100%</f>
        <v>0.96114421930870075</v>
      </c>
    </row>
    <row r="57" spans="1:21" x14ac:dyDescent="0.35">
      <c r="A57">
        <v>54</v>
      </c>
      <c r="D57">
        <v>0</v>
      </c>
      <c r="E57">
        <v>0</v>
      </c>
      <c r="F57" s="6">
        <v>45923.724999999999</v>
      </c>
      <c r="G57" s="6">
        <v>45925.693749999999</v>
      </c>
      <c r="H57">
        <v>8.5</v>
      </c>
      <c r="I57">
        <v>3.75</v>
      </c>
      <c r="J57">
        <v>2.5</v>
      </c>
      <c r="K57" t="s">
        <v>36</v>
      </c>
      <c r="N57" s="3">
        <f t="shared" ref="N57" si="167">G57-F57</f>
        <v>1.96875</v>
      </c>
      <c r="O57" s="4">
        <f t="shared" ref="O57" si="168">N57</f>
        <v>1.96875</v>
      </c>
      <c r="P57" s="5">
        <f t="shared" ref="P57" si="169">H57-I57</f>
        <v>4.75</v>
      </c>
      <c r="Q57" s="1">
        <f t="shared" ref="Q57" si="170">ABS((E57-D57)/0.9982)</f>
        <v>0</v>
      </c>
      <c r="R57" s="5">
        <f t="shared" ref="R57" si="171">J57*O57</f>
        <v>4.921875</v>
      </c>
      <c r="S57">
        <f t="shared" ref="S57" si="172">(1-ABS(Q57-R57)/R57)*100</f>
        <v>0</v>
      </c>
      <c r="T57" s="1">
        <f>P57*1440/2835</f>
        <v>2.4126984126984126</v>
      </c>
      <c r="U57" s="7">
        <f t="shared" ref="U57" si="173">(1-ABS(T57-J57)/J57)*100%</f>
        <v>0.96507936507936498</v>
      </c>
    </row>
    <row r="58" spans="1:21" x14ac:dyDescent="0.35">
      <c r="A58">
        <v>55</v>
      </c>
      <c r="D58">
        <v>0</v>
      </c>
      <c r="E58">
        <v>0</v>
      </c>
      <c r="F58" s="6">
        <v>45925.716666666667</v>
      </c>
      <c r="G58" s="6">
        <v>45926.490277777775</v>
      </c>
      <c r="H58">
        <v>7.6</v>
      </c>
      <c r="I58">
        <v>5.75</v>
      </c>
      <c r="J58">
        <v>2.5</v>
      </c>
      <c r="K58" t="s">
        <v>37</v>
      </c>
      <c r="N58" s="3">
        <f t="shared" ref="N58:N59" si="174">G58-F58</f>
        <v>0.77361111110803904</v>
      </c>
      <c r="O58" s="4">
        <f t="shared" ref="O58:O59" si="175">N58</f>
        <v>0.77361111110803904</v>
      </c>
      <c r="P58" s="5">
        <f t="shared" ref="P58:P59" si="176">H58-I58</f>
        <v>1.8499999999999996</v>
      </c>
      <c r="Q58" s="1">
        <f t="shared" ref="Q58:Q59" si="177">ABS((E58-D58)/0.9982)</f>
        <v>0</v>
      </c>
      <c r="R58" s="5">
        <f t="shared" ref="R58:R59" si="178">J58*O58</f>
        <v>1.9340277777700976</v>
      </c>
      <c r="S58">
        <f t="shared" ref="S58:S59" si="179">(1-ABS(Q58-R58)/R58)*100</f>
        <v>0</v>
      </c>
      <c r="T58" s="1">
        <f>P58*1440/1114</f>
        <v>2.3913824057450626</v>
      </c>
      <c r="U58" s="7">
        <f t="shared" ref="U58:U59" si="180">(1-ABS(T58-J58)/J58)*100%</f>
        <v>0.956552962298025</v>
      </c>
    </row>
    <row r="59" spans="1:21" x14ac:dyDescent="0.35">
      <c r="A59">
        <v>56</v>
      </c>
      <c r="B59">
        <v>286</v>
      </c>
      <c r="C59">
        <v>159</v>
      </c>
      <c r="D59">
        <v>0</v>
      </c>
      <c r="E59">
        <v>0</v>
      </c>
      <c r="F59" s="6">
        <v>45925.719444444447</v>
      </c>
      <c r="G59" s="6">
        <v>45926.490277777775</v>
      </c>
      <c r="H59">
        <v>12</v>
      </c>
      <c r="I59">
        <v>10.3</v>
      </c>
      <c r="J59">
        <v>2.5</v>
      </c>
      <c r="K59" t="s">
        <v>37</v>
      </c>
      <c r="N59" s="3">
        <f t="shared" si="174"/>
        <v>0.77083333332848269</v>
      </c>
      <c r="O59" s="4">
        <f t="shared" si="175"/>
        <v>0.77083333332848269</v>
      </c>
      <c r="P59" s="5">
        <f t="shared" si="176"/>
        <v>1.6999999999999993</v>
      </c>
      <c r="Q59" s="1">
        <f t="shared" si="177"/>
        <v>0</v>
      </c>
      <c r="R59" s="5">
        <f t="shared" si="178"/>
        <v>1.9270833333212067</v>
      </c>
      <c r="S59">
        <f t="shared" si="179"/>
        <v>0</v>
      </c>
      <c r="T59" s="1">
        <f>P59*1440/1110</f>
        <v>2.2054054054054046</v>
      </c>
      <c r="U59" s="7">
        <f t="shared" si="180"/>
        <v>0.88216216216216181</v>
      </c>
    </row>
    <row r="60" spans="1:21" x14ac:dyDescent="0.35">
      <c r="A60">
        <v>57</v>
      </c>
      <c r="B60">
        <v>286</v>
      </c>
      <c r="C60">
        <v>159</v>
      </c>
      <c r="D60">
        <v>0</v>
      </c>
      <c r="E60">
        <v>0</v>
      </c>
      <c r="F60" s="6">
        <v>45926.496527777781</v>
      </c>
      <c r="G60" s="6">
        <v>45926.574999999997</v>
      </c>
      <c r="H60">
        <v>10.3</v>
      </c>
      <c r="I60">
        <v>10.1</v>
      </c>
      <c r="J60">
        <v>2.5</v>
      </c>
      <c r="K60" t="s">
        <v>37</v>
      </c>
      <c r="N60" s="3">
        <f t="shared" ref="N60:N61" si="181">G60-F60</f>
        <v>7.847222221607808E-2</v>
      </c>
      <c r="O60" s="4">
        <f t="shared" ref="O60:O61" si="182">N60</f>
        <v>7.847222221607808E-2</v>
      </c>
      <c r="P60" s="5">
        <f t="shared" ref="P60:P61" si="183">H60-I60</f>
        <v>0.20000000000000107</v>
      </c>
      <c r="Q60" s="1">
        <f t="shared" ref="Q60:Q61" si="184">ABS((E60-D60)/0.9982)</f>
        <v>0</v>
      </c>
      <c r="R60" s="5">
        <f t="shared" ref="R60:R61" si="185">J60*O60</f>
        <v>0.1961805555401952</v>
      </c>
      <c r="S60">
        <f t="shared" ref="S60:S61" si="186">(1-ABS(Q60-R60)/R60)*100</f>
        <v>0</v>
      </c>
      <c r="T60" s="1">
        <f>P60*1440/113</f>
        <v>2.5486725663716951</v>
      </c>
      <c r="U60" s="7">
        <f t="shared" ref="U60:U61" si="187">(1-ABS(T60-J60)/J60)*100%</f>
        <v>0.9805309734513219</v>
      </c>
    </row>
    <row r="61" spans="1:21" x14ac:dyDescent="0.35">
      <c r="A61">
        <v>58</v>
      </c>
      <c r="D61">
        <v>0</v>
      </c>
      <c r="E61">
        <v>0</v>
      </c>
      <c r="F61" s="6">
        <v>45926.494444444441</v>
      </c>
      <c r="G61" s="6">
        <v>45926.575694444444</v>
      </c>
      <c r="H61">
        <v>5.75</v>
      </c>
      <c r="I61">
        <v>5.55</v>
      </c>
      <c r="J61">
        <v>2.5</v>
      </c>
      <c r="K61" t="s">
        <v>37</v>
      </c>
      <c r="N61" s="3">
        <f t="shared" si="181"/>
        <v>8.1250000002910383E-2</v>
      </c>
      <c r="O61" s="4">
        <f t="shared" si="182"/>
        <v>8.1250000002910383E-2</v>
      </c>
      <c r="P61" s="5">
        <f t="shared" si="183"/>
        <v>0.20000000000000018</v>
      </c>
      <c r="Q61" s="1">
        <f t="shared" si="184"/>
        <v>0</v>
      </c>
      <c r="R61" s="5">
        <f t="shared" si="185"/>
        <v>0.20312500000727596</v>
      </c>
      <c r="S61">
        <f t="shared" si="186"/>
        <v>0</v>
      </c>
      <c r="T61" s="1">
        <f>P61*1440/117</f>
        <v>2.4615384615384635</v>
      </c>
      <c r="U61" s="7">
        <f t="shared" si="187"/>
        <v>0.98461538461538534</v>
      </c>
    </row>
    <row r="62" spans="1:21" x14ac:dyDescent="0.35">
      <c r="A62">
        <v>59</v>
      </c>
      <c r="B62">
        <v>286</v>
      </c>
      <c r="C62">
        <v>159</v>
      </c>
      <c r="D62">
        <v>0</v>
      </c>
      <c r="E62">
        <v>0</v>
      </c>
      <c r="F62" s="6">
        <v>45926.575694444444</v>
      </c>
      <c r="G62" s="6">
        <v>45926.655555555553</v>
      </c>
      <c r="H62">
        <v>5.6</v>
      </c>
      <c r="I62">
        <v>3.45</v>
      </c>
      <c r="J62">
        <v>25</v>
      </c>
      <c r="K62" t="s">
        <v>37</v>
      </c>
      <c r="N62" s="3">
        <f t="shared" ref="N62" si="188">G62-F62</f>
        <v>7.9861111109494232E-2</v>
      </c>
      <c r="O62" s="4">
        <f t="shared" ref="O62" si="189">N62</f>
        <v>7.9861111109494232E-2</v>
      </c>
      <c r="P62" s="5">
        <f t="shared" ref="P62" si="190">H62-I62</f>
        <v>2.1499999999999995</v>
      </c>
      <c r="Q62" s="1">
        <f t="shared" ref="Q62" si="191">ABS((E62-D62)/0.9982)</f>
        <v>0</v>
      </c>
      <c r="R62" s="5">
        <f t="shared" ref="R62" si="192">J62*O62</f>
        <v>1.9965277777373558</v>
      </c>
      <c r="S62">
        <f t="shared" ref="S62" si="193">(1-ABS(Q62-R62)/R62)*100</f>
        <v>0</v>
      </c>
      <c r="T62" s="1">
        <f>P62*1440/115</f>
        <v>26.921739130434776</v>
      </c>
      <c r="U62" s="7">
        <f t="shared" ref="U62" si="194">(1-ABS(T62-J62)/J62)*100%</f>
        <v>0.92313043478260892</v>
      </c>
    </row>
    <row r="63" spans="1:21" x14ac:dyDescent="0.35">
      <c r="A63">
        <v>60</v>
      </c>
      <c r="B63">
        <v>286</v>
      </c>
      <c r="C63">
        <v>159</v>
      </c>
      <c r="D63">
        <v>0</v>
      </c>
      <c r="E63">
        <v>0</v>
      </c>
      <c r="F63" s="6">
        <v>45926.663888888892</v>
      </c>
      <c r="G63" s="6">
        <v>45929.73333333333</v>
      </c>
      <c r="H63">
        <v>12</v>
      </c>
      <c r="I63">
        <v>4.5</v>
      </c>
      <c r="J63">
        <v>2.5</v>
      </c>
      <c r="K63" t="s">
        <v>37</v>
      </c>
      <c r="N63" s="3">
        <f t="shared" ref="N63:N64" si="195">G63-F63</f>
        <v>3.0694444444379769</v>
      </c>
      <c r="O63" s="4">
        <f t="shared" ref="O63:O64" si="196">N63</f>
        <v>3.0694444444379769</v>
      </c>
      <c r="P63" s="5">
        <f t="shared" ref="P63:P64" si="197">H63-I63</f>
        <v>7.5</v>
      </c>
      <c r="Q63" s="1">
        <f t="shared" ref="Q63:Q64" si="198">ABS((E63-D63)/0.9982)</f>
        <v>0</v>
      </c>
      <c r="R63" s="5">
        <f t="shared" ref="R63:R64" si="199">J63*O63</f>
        <v>7.6736111110949423</v>
      </c>
      <c r="S63">
        <f t="shared" ref="S63:S64" si="200">(1-ABS(Q63-R63)/R63)*100</f>
        <v>0</v>
      </c>
      <c r="T63" s="1">
        <f>P63*1440/4420</f>
        <v>2.4434389140271495</v>
      </c>
      <c r="U63" s="7">
        <f t="shared" ref="U63:U64" si="201">(1-ABS(T63-J63)/J63)*100%</f>
        <v>0.97737556561085981</v>
      </c>
    </row>
    <row r="64" spans="1:21" x14ac:dyDescent="0.35">
      <c r="A64">
        <v>61</v>
      </c>
      <c r="D64">
        <v>0</v>
      </c>
      <c r="E64">
        <v>0</v>
      </c>
      <c r="F64" s="6">
        <v>45926.663194444445</v>
      </c>
      <c r="G64" s="6">
        <v>45929.73333333333</v>
      </c>
      <c r="H64">
        <v>12</v>
      </c>
      <c r="I64">
        <v>4.2</v>
      </c>
      <c r="J64">
        <v>2.5</v>
      </c>
      <c r="K64" t="s">
        <v>37</v>
      </c>
      <c r="N64" s="3">
        <f t="shared" si="195"/>
        <v>3.070138888884685</v>
      </c>
      <c r="O64" s="4">
        <f t="shared" si="196"/>
        <v>3.070138888884685</v>
      </c>
      <c r="P64" s="5">
        <f t="shared" si="197"/>
        <v>7.8</v>
      </c>
      <c r="Q64" s="1">
        <f t="shared" si="198"/>
        <v>0</v>
      </c>
      <c r="R64" s="5">
        <f t="shared" si="199"/>
        <v>7.6753472222117125</v>
      </c>
      <c r="S64">
        <f t="shared" si="200"/>
        <v>0</v>
      </c>
      <c r="T64" s="1">
        <f>P64*1440/4421</f>
        <v>2.5406016738294506</v>
      </c>
      <c r="U64" s="7">
        <f t="shared" si="201"/>
        <v>0.98375933046821973</v>
      </c>
    </row>
    <row r="65" spans="1:21" x14ac:dyDescent="0.35">
      <c r="A65">
        <v>62</v>
      </c>
      <c r="D65">
        <v>0</v>
      </c>
      <c r="E65">
        <v>0</v>
      </c>
      <c r="F65" s="6">
        <v>45930.870138888888</v>
      </c>
      <c r="G65" s="6">
        <v>45931.25277777778</v>
      </c>
      <c r="J65">
        <v>2.5</v>
      </c>
      <c r="K65" t="s">
        <v>37</v>
      </c>
      <c r="N65" s="3">
        <f t="shared" ref="N65" si="202">G65-F65</f>
        <v>0.38263888889196096</v>
      </c>
      <c r="O65" s="4">
        <f t="shared" ref="O65" si="203">N65</f>
        <v>0.38263888889196096</v>
      </c>
      <c r="P65" s="5">
        <f t="shared" ref="P65" si="204">H65-I65</f>
        <v>0</v>
      </c>
      <c r="Q65" s="1">
        <f t="shared" ref="Q65" si="205">ABS((E65-D65)/0.9982)</f>
        <v>0</v>
      </c>
      <c r="R65" s="5">
        <f t="shared" ref="R65" si="206">J65*O65</f>
        <v>0.9565972222299024</v>
      </c>
      <c r="S65">
        <f t="shared" ref="S65" si="207">(1-ABS(Q65-R65)/R65)*100</f>
        <v>0</v>
      </c>
      <c r="T65" s="1">
        <f>P65*1440/4421</f>
        <v>0</v>
      </c>
      <c r="U65" s="7">
        <f t="shared" ref="U65" si="208">(1-ABS(T65-J65)/J65)*100%</f>
        <v>0</v>
      </c>
    </row>
  </sheetData>
  <phoneticPr fontId="7" type="noConversion"/>
  <conditionalFormatting sqref="U4:U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6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21"/>
  <sheetViews>
    <sheetView workbookViewId="0">
      <selection activeCell="K18" sqref="K18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8.179687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816</v>
      </c>
      <c r="W5">
        <f>AVERAGE(V5,V6,V7,V8,V9)</f>
        <v>807.6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802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799</v>
      </c>
    </row>
    <row r="8" spans="2:23" x14ac:dyDescent="0.35">
      <c r="V8">
        <v>817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804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  <c r="D13" s="11">
        <v>45909.48541666667</v>
      </c>
      <c r="E13">
        <v>994</v>
      </c>
      <c r="F13">
        <v>15</v>
      </c>
      <c r="G13">
        <v>10.7</v>
      </c>
    </row>
    <row r="14" spans="2:23" x14ac:dyDescent="0.35">
      <c r="B14">
        <v>3</v>
      </c>
      <c r="C14">
        <v>2</v>
      </c>
      <c r="D14" s="11">
        <v>45910.433333333334</v>
      </c>
      <c r="E14">
        <v>931</v>
      </c>
      <c r="F14">
        <v>15</v>
      </c>
      <c r="G14">
        <v>8.4499999999999993</v>
      </c>
      <c r="H14">
        <f>10.7-8.45</f>
        <v>2.25</v>
      </c>
      <c r="I14" s="3">
        <f>D14-D13</f>
        <v>0.94791666666424135</v>
      </c>
      <c r="M14">
        <f>994-931</f>
        <v>63</v>
      </c>
      <c r="N14" s="15" t="s">
        <v>38</v>
      </c>
    </row>
    <row r="15" spans="2:23" x14ac:dyDescent="0.35">
      <c r="B15">
        <v>3</v>
      </c>
      <c r="C15">
        <v>2</v>
      </c>
      <c r="D15" s="11">
        <v>45911.393750000003</v>
      </c>
      <c r="E15">
        <v>808</v>
      </c>
      <c r="F15">
        <v>20</v>
      </c>
      <c r="G15">
        <v>6</v>
      </c>
      <c r="H15">
        <f>8.45-6</f>
        <v>2.4499999999999993</v>
      </c>
      <c r="I15" s="3">
        <f>D15-D14</f>
        <v>0.96041666666860692</v>
      </c>
      <c r="K15" s="12">
        <f>SUM(I14,I15)</f>
        <v>1.9083333333328483</v>
      </c>
      <c r="L15">
        <f>SUM(H14,H15)</f>
        <v>4.6999999999999993</v>
      </c>
      <c r="M15">
        <f>931-808</f>
        <v>123</v>
      </c>
      <c r="N15">
        <f>SUM(M14,M15)</f>
        <v>186</v>
      </c>
    </row>
    <row r="17" spans="2:14" x14ac:dyDescent="0.35">
      <c r="B17">
        <v>4</v>
      </c>
      <c r="C17">
        <v>3</v>
      </c>
      <c r="D17" s="11">
        <v>45912.517361111109</v>
      </c>
      <c r="E17">
        <v>769</v>
      </c>
      <c r="F17">
        <v>15</v>
      </c>
      <c r="G17">
        <v>11.2</v>
      </c>
      <c r="K17" s="13"/>
    </row>
    <row r="18" spans="2:14" x14ac:dyDescent="0.35">
      <c r="B18">
        <v>4</v>
      </c>
      <c r="C18">
        <v>3</v>
      </c>
      <c r="D18" s="11">
        <v>45915.452777777777</v>
      </c>
      <c r="E18">
        <v>729</v>
      </c>
      <c r="F18">
        <v>15</v>
      </c>
      <c r="G18">
        <v>2.4</v>
      </c>
      <c r="H18">
        <f>11.2-2.4</f>
        <v>8.7999999999999989</v>
      </c>
      <c r="I18" s="3">
        <f>D18-D17</f>
        <v>2.9354166666671517</v>
      </c>
      <c r="M18">
        <f>E17-E18</f>
        <v>40</v>
      </c>
    </row>
    <row r="19" spans="2:14" x14ac:dyDescent="0.35">
      <c r="B19">
        <v>5</v>
      </c>
      <c r="C19">
        <v>3</v>
      </c>
      <c r="D19" s="11">
        <v>45915.701388888891</v>
      </c>
      <c r="E19">
        <v>725</v>
      </c>
      <c r="F19">
        <v>20</v>
      </c>
      <c r="G19">
        <v>11.3</v>
      </c>
      <c r="H19">
        <v>0.4</v>
      </c>
      <c r="I19" s="14">
        <v>0.1388888888888889</v>
      </c>
      <c r="M19">
        <f t="shared" ref="M19:M21" si="0">E18-E19</f>
        <v>4</v>
      </c>
    </row>
    <row r="20" spans="2:14" x14ac:dyDescent="0.35">
      <c r="B20">
        <v>5</v>
      </c>
      <c r="C20">
        <v>3</v>
      </c>
      <c r="D20" s="11">
        <v>45916.452777777777</v>
      </c>
      <c r="E20">
        <v>761</v>
      </c>
      <c r="F20">
        <v>20</v>
      </c>
      <c r="G20">
        <v>9.15</v>
      </c>
      <c r="H20">
        <f>11.3-9.15</f>
        <v>2.1500000000000004</v>
      </c>
      <c r="I20" s="3">
        <f>D20-D19</f>
        <v>0.75138888888614019</v>
      </c>
      <c r="M20">
        <f t="shared" si="0"/>
        <v>-36</v>
      </c>
      <c r="N20" s="15" t="s">
        <v>38</v>
      </c>
    </row>
    <row r="21" spans="2:14" x14ac:dyDescent="0.35">
      <c r="B21">
        <v>5</v>
      </c>
      <c r="C21">
        <v>3</v>
      </c>
      <c r="D21" s="11">
        <v>45916.731944444444</v>
      </c>
      <c r="E21">
        <v>800</v>
      </c>
      <c r="F21">
        <v>20</v>
      </c>
      <c r="G21">
        <v>8.3000000000000007</v>
      </c>
      <c r="H21">
        <f>9.15-8.3</f>
        <v>0.84999999999999964</v>
      </c>
      <c r="I21" s="3">
        <f>D21-D20</f>
        <v>0.27916666666715173</v>
      </c>
      <c r="K21" s="12">
        <f>SUM(I18,I19,I20,I21)</f>
        <v>4.1048611111093329</v>
      </c>
      <c r="L21">
        <f>SUM(H18,H19,H20,H21)</f>
        <v>12.2</v>
      </c>
      <c r="M21">
        <f t="shared" si="0"/>
        <v>-39</v>
      </c>
      <c r="N21">
        <f>SUM(M18,M19,M20,M21)</f>
        <v>-31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Cornea Measurements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2025-10-01T14:48:01Z</dcterms:modified>
</cp:coreProperties>
</file>