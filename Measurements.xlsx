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65795BF2-D92D-46F4-AE1E-C13AA897D955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4" i="1" l="1"/>
  <c r="O14" i="1"/>
  <c r="P14" i="1" s="1"/>
  <c r="Q14" i="1"/>
  <c r="R14" i="1"/>
  <c r="O13" i="1"/>
  <c r="P13" i="1" s="1"/>
  <c r="Q13" i="1"/>
  <c r="U13" i="1" s="1"/>
  <c r="R13" i="1"/>
  <c r="U12" i="1"/>
  <c r="O12" i="1"/>
  <c r="P12" i="1" s="1"/>
  <c r="Q12" i="1"/>
  <c r="R12" i="1"/>
  <c r="V5" i="1"/>
  <c r="V6" i="1"/>
  <c r="V7" i="1"/>
  <c r="V8" i="1"/>
  <c r="V9" i="1"/>
  <c r="V10" i="1"/>
  <c r="V11" i="1"/>
  <c r="V4" i="1"/>
  <c r="U11" i="1"/>
  <c r="O11" i="1"/>
  <c r="P11" i="1" s="1"/>
  <c r="Q11" i="1"/>
  <c r="R11" i="1"/>
  <c r="U10" i="1"/>
  <c r="O10" i="1"/>
  <c r="P10" i="1" s="1"/>
  <c r="Q10" i="1"/>
  <c r="R10" i="1"/>
  <c r="V14" i="1" l="1"/>
  <c r="V13" i="1"/>
  <c r="V12" i="1"/>
  <c r="U9" i="1"/>
  <c r="O9" i="1"/>
  <c r="P9" i="1" s="1"/>
  <c r="Q9" i="1"/>
  <c r="R9" i="1"/>
  <c r="U8" i="1"/>
  <c r="O8" i="1"/>
  <c r="P8" i="1" s="1"/>
  <c r="Q8" i="1"/>
  <c r="R8" i="1"/>
  <c r="U7" i="1"/>
  <c r="O7" i="1"/>
  <c r="P7" i="1"/>
  <c r="Q7" i="1"/>
  <c r="R7" i="1"/>
  <c r="U6" i="1"/>
  <c r="O6" i="1"/>
  <c r="P6" i="1" s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<sst xmlns="http://schemas.openxmlformats.org/spreadsheetml/2006/main" count="19" uniqueCount="19">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</sst>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14" totalsRowShown="0">
  <autoFilter ref="B3:L1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6"/>
    <tableColumn id="7" xr3:uid="{1D3E761D-6183-43C4-A343-C4E44D78FD50}" name="End_Time" dataDxfId="5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7" totalsRowShown="0">
  <autoFilter ref="O3:R7" xr:uid="{AFA1B13B-2067-4436-91E8-CE7B0EC89831}"/>
  <tableColumns count="4">
    <tableColumn id="1" xr3:uid="{97463821-DEE2-4F42-AC00-A7A61AC07CE0}" name="Duration" dataDxfId="4">
      <calculatedColumnFormula>H4-G4</calculatedColumnFormula>
    </tableColumn>
    <tableColumn id="4" xr3:uid="{052C2071-850E-42F5-A26B-889DB58815C3}" name="Duration in Min" dataDxfId="3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2">
      <calculatedColumnFormula>(F4-E4)/0.9982</calculatedColumnFormula>
    </tableColumn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V14"/>
  <sheetViews>
    <sheetView tabSelected="1" workbookViewId="0">
      <selection activeCell="R15" sqref="R15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  <col min="21" max="21" width="11.54296875" customWidth="1"/>
    <col min="22" max="22" width="10.6328125" customWidth="1"/>
  </cols>
  <sheetData>
    <row r="3" spans="2:22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  <c r="V3" t="s">
        <v>18</v>
      </c>
    </row>
    <row r="4" spans="2:22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T4" s="5"/>
      <c r="U4" s="1">
        <f>Q4*1440/755</f>
        <v>2.0980132450331119</v>
      </c>
      <c r="V4" s="7">
        <f>(1-ABS(U4-K4)/K4)*100%</f>
        <v>0.83920529801324473</v>
      </c>
    </row>
    <row r="5" spans="2:22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U5" s="1">
        <f>Q5*1440/247</f>
        <v>2.3319838056680182</v>
      </c>
      <c r="V5" s="7">
        <f t="shared" ref="V5:V11" si="4">(1-ABS(U5-K5)/K5)*100%</f>
        <v>0.93279352226720724</v>
      </c>
    </row>
    <row r="6" spans="2:22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U6" s="1">
        <f>Q6*1440/1052</f>
        <v>2.2585551330798483</v>
      </c>
      <c r="V6" s="7">
        <f t="shared" si="4"/>
        <v>0.90342205323193936</v>
      </c>
    </row>
    <row r="7" spans="2:22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U7" s="1">
        <f>Q7*1440/68</f>
        <v>21.176470588235293</v>
      </c>
      <c r="V7" s="7">
        <f t="shared" si="4"/>
        <v>0.84705882352941175</v>
      </c>
    </row>
    <row r="8" spans="2:22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U8" s="1">
        <f>Q8*1440/61</f>
        <v>22.426229508196727</v>
      </c>
      <c r="V8" s="7">
        <f t="shared" si="4"/>
        <v>0.89704918032786907</v>
      </c>
    </row>
    <row r="9" spans="2:22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U9" s="1">
        <f>Q9*1440/133</f>
        <v>27.609022556390975</v>
      </c>
      <c r="V9" s="7">
        <f t="shared" si="4"/>
        <v>0.89563909774436101</v>
      </c>
    </row>
    <row r="10" spans="2:22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U10" s="1">
        <f>Q10*1440/103</f>
        <v>27.961165048543688</v>
      </c>
      <c r="V10" s="7">
        <f t="shared" si="4"/>
        <v>0.8815533980582525</v>
      </c>
    </row>
    <row r="11" spans="2:22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U11" s="1">
        <f>Q11*1440/1007</f>
        <v>2.5024826216484608</v>
      </c>
      <c r="V11" s="7">
        <f t="shared" si="4"/>
        <v>0.99900695134061568</v>
      </c>
    </row>
    <row r="12" spans="2:22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5">H12-G12</f>
        <v>9.7916666665696539E-2</v>
      </c>
      <c r="P12" s="4">
        <f t="shared" ref="P12" si="6">O12</f>
        <v>9.7916666665696539E-2</v>
      </c>
      <c r="Q12" s="5">
        <f t="shared" ref="Q12" si="7">I12-J12</f>
        <v>2.4499999999999993</v>
      </c>
      <c r="R12" s="1">
        <f t="shared" ref="R12" si="8">(F12-E12)/0.9982</f>
        <v>0</v>
      </c>
      <c r="U12" s="1">
        <f>Q12*1440/141</f>
        <v>25.021276595744673</v>
      </c>
      <c r="V12" s="7">
        <f t="shared" ref="V12" si="9">(1-ABS(U12-K12)/K12)*100%</f>
        <v>0.99914893617021305</v>
      </c>
    </row>
    <row r="13" spans="2:22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0">H13-G13</f>
        <v>0.14513888888905058</v>
      </c>
      <c r="P13" s="4">
        <f t="shared" ref="P13" si="11">O13</f>
        <v>0.14513888888905058</v>
      </c>
      <c r="Q13" s="5">
        <f t="shared" ref="Q13" si="12">I13-J13</f>
        <v>3.5999999999999996</v>
      </c>
      <c r="R13" s="1">
        <f t="shared" ref="R13" si="13">(F13-E13)/0.9982</f>
        <v>0</v>
      </c>
      <c r="U13" s="1">
        <f>Q13*1440/209</f>
        <v>24.803827751196167</v>
      </c>
      <c r="V13" s="7">
        <f t="shared" ref="V13" si="14">(1-ABS(U13-K13)/K13)*100%</f>
        <v>0.99215311004784668</v>
      </c>
    </row>
    <row r="14" spans="2:22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5">H14-G14</f>
        <v>9.5138888893416151E-2</v>
      </c>
      <c r="P14" s="4">
        <f t="shared" ref="P14" si="16">O14</f>
        <v>9.5138888893416151E-2</v>
      </c>
      <c r="Q14" s="5">
        <f t="shared" ref="Q14" si="17">I14-J14</f>
        <v>0.51999999999999957</v>
      </c>
      <c r="R14" s="1">
        <f t="shared" ref="R14" si="18">(F14-E14)/0.9982</f>
        <v>0</v>
      </c>
      <c r="U14" s="1">
        <f>Q14*1440/137</f>
        <v>5.4656934306569296</v>
      </c>
      <c r="V14" s="7">
        <f t="shared" ref="V14" si="19">(1-ABS(U14-K14)/K14)*100%</f>
        <v>0.90686131386861413</v>
      </c>
    </row>
  </sheetData>
  <conditionalFormatting sqref="V4:V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2025-08-01T14:58:44Z</dcterms:modified>
</cp:coreProperties>
</file>