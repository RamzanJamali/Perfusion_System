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ramza\Downloads\Perfusion_System\"/>
    </mc:Choice>
  </mc:AlternateContent>
  <xr:revisionPtr revIDLastSave="0" documentId="13_ncr:1_{CF0653AE-4C5D-411F-9966-554B0AACE6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  <sheet name="Cornea Measur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65" i="1" l="1"/>
  <c r="N65" i="1"/>
  <c r="O65" i="1"/>
  <c r="R65" i="1" s="1"/>
  <c r="P65" i="1"/>
  <c r="Q65" i="1"/>
  <c r="T78" i="1"/>
  <c r="N78" i="1"/>
  <c r="O78" i="1" s="1"/>
  <c r="R78" i="1" s="1"/>
  <c r="S78" i="1" s="1"/>
  <c r="P78" i="1"/>
  <c r="Q78" i="1"/>
  <c r="T76" i="1"/>
  <c r="N76" i="1"/>
  <c r="O76" i="1" s="1"/>
  <c r="R76" i="1" s="1"/>
  <c r="S76" i="1" s="1"/>
  <c r="P76" i="1"/>
  <c r="Q76" i="1"/>
  <c r="T77" i="1"/>
  <c r="N77" i="1"/>
  <c r="O77" i="1" s="1"/>
  <c r="R77" i="1" s="1"/>
  <c r="P77" i="1"/>
  <c r="Q77" i="1"/>
  <c r="T75" i="1"/>
  <c r="N75" i="1"/>
  <c r="O75" i="1" s="1"/>
  <c r="R75" i="1" s="1"/>
  <c r="P75" i="1"/>
  <c r="Q75" i="1"/>
  <c r="T74" i="1"/>
  <c r="U74" i="1" s="1"/>
  <c r="N74" i="1"/>
  <c r="O74" i="1" s="1"/>
  <c r="R74" i="1" s="1"/>
  <c r="S74" i="1" s="1"/>
  <c r="P74" i="1"/>
  <c r="Q74" i="1"/>
  <c r="T73" i="1"/>
  <c r="N73" i="1"/>
  <c r="O73" i="1" s="1"/>
  <c r="R73" i="1" s="1"/>
  <c r="S73" i="1" s="1"/>
  <c r="P73" i="1"/>
  <c r="Q73" i="1"/>
  <c r="T72" i="1"/>
  <c r="U72" i="1" s="1"/>
  <c r="N72" i="1"/>
  <c r="O72" i="1" s="1"/>
  <c r="R72" i="1" s="1"/>
  <c r="P72" i="1"/>
  <c r="Q72" i="1"/>
  <c r="T71" i="1"/>
  <c r="N71" i="1"/>
  <c r="O71" i="1" s="1"/>
  <c r="R71" i="1" s="1"/>
  <c r="P71" i="1"/>
  <c r="Q71" i="1"/>
  <c r="U65" i="1" l="1"/>
  <c r="S65" i="1"/>
  <c r="U78" i="1"/>
  <c r="U76" i="1"/>
  <c r="U77" i="1"/>
  <c r="S77" i="1"/>
  <c r="U75" i="1"/>
  <c r="S75" i="1"/>
  <c r="U73" i="1"/>
  <c r="S72" i="1"/>
  <c r="U71" i="1"/>
  <c r="S71" i="1"/>
  <c r="N15" i="2"/>
  <c r="M15" i="2"/>
  <c r="M14" i="2"/>
  <c r="L15" i="2"/>
  <c r="K15" i="2"/>
  <c r="I15" i="2"/>
  <c r="H15" i="2"/>
  <c r="M19" i="2"/>
  <c r="M20" i="2"/>
  <c r="M21" i="2"/>
  <c r="M18" i="2"/>
  <c r="N21" i="2" s="1"/>
  <c r="L21" i="2"/>
  <c r="I21" i="2"/>
  <c r="H21" i="2"/>
  <c r="I20" i="2"/>
  <c r="H20" i="2"/>
  <c r="I18" i="2"/>
  <c r="K21" i="2" s="1"/>
  <c r="H18" i="2"/>
  <c r="I14" i="2"/>
  <c r="H14" i="2"/>
  <c r="T63" i="1"/>
  <c r="N63" i="1"/>
  <c r="O63" i="1" s="1"/>
  <c r="R63" i="1" s="1"/>
  <c r="P63" i="1"/>
  <c r="Q63" i="1"/>
  <c r="N64" i="1"/>
  <c r="O64" i="1" s="1"/>
  <c r="R64" i="1" s="1"/>
  <c r="P64" i="1"/>
  <c r="T64" i="1" s="1"/>
  <c r="Q64" i="1"/>
  <c r="N62" i="1"/>
  <c r="O62" i="1" s="1"/>
  <c r="R62" i="1" s="1"/>
  <c r="P62" i="1"/>
  <c r="Q62" i="1"/>
  <c r="T62" i="1"/>
  <c r="U62" i="1" s="1"/>
  <c r="T60" i="1"/>
  <c r="N60" i="1"/>
  <c r="O60" i="1" s="1"/>
  <c r="R60" i="1" s="1"/>
  <c r="S60" i="1" s="1"/>
  <c r="P60" i="1"/>
  <c r="Q60" i="1"/>
  <c r="N61" i="1"/>
  <c r="O61" i="1" s="1"/>
  <c r="R61" i="1" s="1"/>
  <c r="S61" i="1" s="1"/>
  <c r="P61" i="1"/>
  <c r="T61" i="1" s="1"/>
  <c r="Q61" i="1"/>
  <c r="T59" i="1"/>
  <c r="T58" i="1"/>
  <c r="U64" i="1" l="1"/>
  <c r="S64" i="1"/>
  <c r="U63" i="1"/>
  <c r="S63" i="1"/>
  <c r="S62" i="1"/>
  <c r="U61" i="1"/>
  <c r="U60" i="1"/>
  <c r="N58" i="1"/>
  <c r="O58" i="1" s="1"/>
  <c r="R58" i="1" s="1"/>
  <c r="P58" i="1"/>
  <c r="Q58" i="1"/>
  <c r="N59" i="1"/>
  <c r="O59" i="1" s="1"/>
  <c r="R59" i="1" s="1"/>
  <c r="P59" i="1"/>
  <c r="Q59" i="1"/>
  <c r="T57" i="1"/>
  <c r="N57" i="1"/>
  <c r="O57" i="1" s="1"/>
  <c r="R57" i="1" s="1"/>
  <c r="P57" i="1"/>
  <c r="Q57" i="1"/>
  <c r="N56" i="1"/>
  <c r="O56" i="1" s="1"/>
  <c r="R56" i="1" s="1"/>
  <c r="S56" i="1" s="1"/>
  <c r="P56" i="1"/>
  <c r="T56" i="1" s="1"/>
  <c r="U56" i="1" s="1"/>
  <c r="Q56" i="1"/>
  <c r="T55" i="1"/>
  <c r="N55" i="1"/>
  <c r="O55" i="1" s="1"/>
  <c r="R55" i="1" s="1"/>
  <c r="P55" i="1"/>
  <c r="Q55" i="1"/>
  <c r="T54" i="1"/>
  <c r="N54" i="1"/>
  <c r="O54" i="1" s="1"/>
  <c r="R54" i="1" s="1"/>
  <c r="P54" i="1"/>
  <c r="Q54" i="1"/>
  <c r="T53" i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59" i="1" l="1"/>
  <c r="U58" i="1"/>
  <c r="S59" i="1"/>
  <c r="S58" i="1"/>
  <c r="U57" i="1"/>
  <c r="S57" i="1"/>
  <c r="U55" i="1"/>
  <c r="S55" i="1"/>
  <c r="U54" i="1"/>
  <c r="S54" i="1"/>
  <c r="S53" i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<sst xmlns="http://schemas.openxmlformats.org/spreadsheetml/2006/main" count="61" uniqueCount="39">
  <si>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</si>
  <si>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</si>
  <si>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</si>
  <si>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</si>
  <si>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</si>
  <si>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</si>
  <si>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</si>
  <si>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</si>
  <si>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</si>
  <si>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</si>
  <si>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</si>
  <si>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</si>
  <si>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</si>
  <si>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</si>
  <si>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</si>
  <si>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</si>
  <si>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</si>
  <si>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</si>
  <si>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</si>
  <si>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</si>
  <si>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</si>
  <si>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</si>
  <si>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</si>
  <si>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</si>
  <si>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</si>
  <si>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</si>
  <si>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</si>
  <si>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</si>
  <si>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</si>
  <si>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</si>
  <si>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</si>
  <si>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</si>
  <si>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</si>
  <si>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</si>
  <si>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</si>
  <si>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</si>
  <si>
    <t>66.25 Valve not connected</t>
  </si>
  <si>
    <t>68.46 Valve not connected</t>
  </si>
  <si>
    <t>This Cornea was Contaminated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</si>
</sst>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theme="6" tint="0.79998168889431442"/>
        <bgColor theme="6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5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  <xf numFmtId="0" fontId="8" fillId="4" borderId="0" applyNumberFormat="0" applyBorder="0" applyAlignment="0" applyProtection="0"/>
  </cellStyleXfs>
  <cellXfs count="16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  <xf numFmtId="46" fontId="2" fillId="5" borderId="4" xfId="0" applyNumberFormat="1" applyFont="1" applyFill="1" applyBorder="1"/>
    <xf numFmtId="21" fontId="0" fillId="0" borderId="0" xfId="0" applyNumberFormat="1"/>
    <xf numFmtId="0" fontId="8" fillId="4" borderId="3" xfId="4" applyBorder="1"/>
  </cellXfs>
  <cellStyles count="5">
    <cellStyle name="Bad" xfId="4" builtinId="27"/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76" totalsRowShown="0">
  <autoFilter ref="A3:K76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78"/>
  <sheetViews>
    <sheetView tabSelected="1" topLeftCell="A37" zoomScale="80" zoomScaleNormal="80" workbookViewId="0">
      <selection activeCell="I66" sqref="I66"/>
    </sheetView>
  </sheetViews>
  <sheetFormatPr defaultRowHeight="15" x14ac:dyDescent="0.25"/>
  <cols>
    <col min="1" max="1" width="8.140625" customWidth="1"/>
    <col min="2" max="2" width="11.5703125" customWidth="1"/>
    <col min="3" max="3" width="11.140625" customWidth="1"/>
    <col min="4" max="4" width="15.42578125" customWidth="1"/>
    <col min="5" max="5" width="14.140625" customWidth="1"/>
    <col min="6" max="6" width="18" customWidth="1"/>
    <col min="7" max="7" width="17.7109375" customWidth="1"/>
    <col min="8" max="8" width="19.28515625" customWidth="1"/>
    <col min="9" max="9" width="18" customWidth="1"/>
    <col min="10" max="10" width="20.28515625" customWidth="1"/>
    <col min="11" max="11" width="20.5703125" customWidth="1"/>
    <col min="12" max="12" width="13.42578125" customWidth="1"/>
    <col min="14" max="14" width="10.42578125" customWidth="1"/>
    <col min="15" max="15" width="16.42578125" customWidth="1"/>
    <col min="16" max="16" width="19.140625" customWidth="1"/>
    <col min="17" max="17" width="18.5703125" customWidth="1"/>
    <col min="18" max="18" width="25" customWidth="1"/>
    <col min="19" max="19" width="13.7109375" customWidth="1"/>
    <col min="20" max="20" width="11.42578125" customWidth="1"/>
    <col min="21" max="21" width="11.5703125" customWidth="1"/>
    <col min="22" max="22" width="10.5703125" customWidth="1"/>
  </cols>
  <sheetData>
    <row r="3" spans="1:41" x14ac:dyDescent="0.2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2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2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2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2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2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2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2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2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2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2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2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2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2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2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2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2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2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2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2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2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2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2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2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2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2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2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2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2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2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2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2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2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2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2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2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2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2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2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2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2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2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2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2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2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2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2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2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2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2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2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25">
      <c r="A54">
        <v>51</v>
      </c>
      <c r="D54">
        <v>0</v>
      </c>
      <c r="E54">
        <v>0</v>
      </c>
      <c r="F54" s="6">
        <v>45918.588194444441</v>
      </c>
      <c r="G54" s="6">
        <v>45922.322222222225</v>
      </c>
      <c r="H54">
        <v>11.8</v>
      </c>
      <c r="I54">
        <v>0.7</v>
      </c>
      <c r="J54">
        <v>2.5</v>
      </c>
      <c r="N54" s="3">
        <f t="shared" ref="N54" si="146">G54-F54</f>
        <v>3.7340277777839219</v>
      </c>
      <c r="O54" s="4">
        <f t="shared" ref="O54" si="147">N54</f>
        <v>3.7340277777839219</v>
      </c>
      <c r="P54" s="5">
        <f t="shared" ref="P54" si="148">H54-I54</f>
        <v>11.100000000000001</v>
      </c>
      <c r="Q54" s="1">
        <f t="shared" ref="Q54" si="149">ABS((E54-D54)/0.9982)</f>
        <v>0</v>
      </c>
      <c r="R54" s="5">
        <f t="shared" ref="R54" si="150">J54*O54</f>
        <v>9.3350694444598048</v>
      </c>
      <c r="S54">
        <f t="shared" ref="S54" si="151">(1-ABS(Q54-R54)/R54)*100</f>
        <v>0</v>
      </c>
      <c r="T54" s="1">
        <f>P54*1440/5377</f>
        <v>2.9726613353170919</v>
      </c>
      <c r="U54" s="7">
        <f t="shared" ref="U54" si="152">(1-ABS(T54-J54)/J54)*100%</f>
        <v>0.81093546587316323</v>
      </c>
    </row>
    <row r="55" spans="1:21" x14ac:dyDescent="0.25">
      <c r="A55">
        <v>52</v>
      </c>
      <c r="D55">
        <v>0</v>
      </c>
      <c r="E55">
        <v>0</v>
      </c>
      <c r="F55" s="6">
        <v>45923.671527777777</v>
      </c>
      <c r="G55" s="6">
        <v>45923.695138888892</v>
      </c>
      <c r="H55">
        <v>8.8000000000000007</v>
      </c>
      <c r="I55">
        <v>6.45</v>
      </c>
      <c r="J55">
        <v>100</v>
      </c>
      <c r="K55" t="s">
        <v>36</v>
      </c>
      <c r="N55" s="3">
        <f t="shared" ref="N55" si="153">G55-F55</f>
        <v>2.3611111115314998E-2</v>
      </c>
      <c r="O55" s="4">
        <f t="shared" ref="O55" si="154">N55</f>
        <v>2.3611111115314998E-2</v>
      </c>
      <c r="P55" s="5">
        <f t="shared" ref="P55" si="155">H55-I55</f>
        <v>2.3500000000000005</v>
      </c>
      <c r="Q55" s="1">
        <f t="shared" ref="Q55" si="156">ABS((E55-D55)/0.9982)</f>
        <v>0</v>
      </c>
      <c r="R55" s="5">
        <f t="shared" ref="R55" si="157">J55*O55</f>
        <v>2.3611111115314998</v>
      </c>
      <c r="S55">
        <f t="shared" ref="S55" si="158">(1-ABS(Q55-R55)/R55)*100</f>
        <v>0</v>
      </c>
      <c r="T55" s="1">
        <f>P55*1440/34</f>
        <v>99.529411764705912</v>
      </c>
      <c r="U55" s="7">
        <f t="shared" ref="U55" si="159">(1-ABS(T55-J55)/J55)*100%</f>
        <v>0.99529411764705911</v>
      </c>
    </row>
    <row r="56" spans="1:21" x14ac:dyDescent="0.25">
      <c r="A56">
        <v>53</v>
      </c>
      <c r="D56">
        <v>0</v>
      </c>
      <c r="E56">
        <v>0</v>
      </c>
      <c r="F56" s="6">
        <v>45923.724999999999</v>
      </c>
      <c r="G56" s="6">
        <v>45925.472916666666</v>
      </c>
      <c r="H56">
        <v>8.5</v>
      </c>
      <c r="I56">
        <v>4.3</v>
      </c>
      <c r="J56">
        <v>2.5</v>
      </c>
      <c r="K56" t="s">
        <v>36</v>
      </c>
      <c r="N56" s="3">
        <f t="shared" ref="N56" si="160">G56-F56</f>
        <v>1.7479166666671517</v>
      </c>
      <c r="O56" s="4">
        <f t="shared" ref="O56" si="161">N56</f>
        <v>1.7479166666671517</v>
      </c>
      <c r="P56" s="5">
        <f t="shared" ref="P56" si="162">H56-I56</f>
        <v>4.2</v>
      </c>
      <c r="Q56" s="1">
        <f t="shared" ref="Q56" si="163">ABS((E56-D56)/0.9982)</f>
        <v>0</v>
      </c>
      <c r="R56" s="5">
        <f t="shared" ref="R56" si="164">J56*O56</f>
        <v>4.3697916666678793</v>
      </c>
      <c r="S56">
        <f t="shared" ref="S56" si="165">(1-ABS(Q56-R56)/R56)*100</f>
        <v>0</v>
      </c>
      <c r="T56" s="1">
        <f>P56*1440/2517</f>
        <v>2.402860548271752</v>
      </c>
      <c r="U56" s="7">
        <f t="shared" ref="U56" si="166">(1-ABS(T56-J56)/J56)*100%</f>
        <v>0.96114421930870075</v>
      </c>
    </row>
    <row r="57" spans="1:21" x14ac:dyDescent="0.25">
      <c r="A57">
        <v>54</v>
      </c>
      <c r="D57">
        <v>0</v>
      </c>
      <c r="E57">
        <v>0</v>
      </c>
      <c r="F57" s="6">
        <v>45923.724999999999</v>
      </c>
      <c r="G57" s="6">
        <v>45925.693749999999</v>
      </c>
      <c r="H57">
        <v>8.5</v>
      </c>
      <c r="I57">
        <v>3.75</v>
      </c>
      <c r="J57">
        <v>2.5</v>
      </c>
      <c r="K57" t="s">
        <v>36</v>
      </c>
      <c r="N57" s="3">
        <f t="shared" ref="N57" si="167">G57-F57</f>
        <v>1.96875</v>
      </c>
      <c r="O57" s="4">
        <f t="shared" ref="O57" si="168">N57</f>
        <v>1.96875</v>
      </c>
      <c r="P57" s="5">
        <f t="shared" ref="P57" si="169">H57-I57</f>
        <v>4.75</v>
      </c>
      <c r="Q57" s="1">
        <f t="shared" ref="Q57" si="170">ABS((E57-D57)/0.9982)</f>
        <v>0</v>
      </c>
      <c r="R57" s="5">
        <f t="shared" ref="R57" si="171">J57*O57</f>
        <v>4.921875</v>
      </c>
      <c r="S57">
        <f t="shared" ref="S57" si="172">(1-ABS(Q57-R57)/R57)*100</f>
        <v>0</v>
      </c>
      <c r="T57" s="1">
        <f>P57*1440/2835</f>
        <v>2.4126984126984126</v>
      </c>
      <c r="U57" s="7">
        <f t="shared" ref="U57" si="173">(1-ABS(T57-J57)/J57)*100%</f>
        <v>0.96507936507936498</v>
      </c>
    </row>
    <row r="58" spans="1:21" x14ac:dyDescent="0.25">
      <c r="A58">
        <v>55</v>
      </c>
      <c r="D58">
        <v>0</v>
      </c>
      <c r="E58">
        <v>0</v>
      </c>
      <c r="F58" s="6">
        <v>45925.716666666667</v>
      </c>
      <c r="G58" s="6">
        <v>45926.490277777775</v>
      </c>
      <c r="H58">
        <v>7.6</v>
      </c>
      <c r="I58">
        <v>5.75</v>
      </c>
      <c r="J58">
        <v>2.5</v>
      </c>
      <c r="K58" t="s">
        <v>37</v>
      </c>
      <c r="N58" s="3">
        <f t="shared" ref="N58:N59" si="174">G58-F58</f>
        <v>0.77361111110803904</v>
      </c>
      <c r="O58" s="4">
        <f t="shared" ref="O58:O59" si="175">N58</f>
        <v>0.77361111110803904</v>
      </c>
      <c r="P58" s="5">
        <f t="shared" ref="P58:P59" si="176">H58-I58</f>
        <v>1.8499999999999996</v>
      </c>
      <c r="Q58" s="1">
        <f t="shared" ref="Q58:Q59" si="177">ABS((E58-D58)/0.9982)</f>
        <v>0</v>
      </c>
      <c r="R58" s="5">
        <f t="shared" ref="R58:R59" si="178">J58*O58</f>
        <v>1.9340277777700976</v>
      </c>
      <c r="S58">
        <f t="shared" ref="S58:S59" si="179">(1-ABS(Q58-R58)/R58)*100</f>
        <v>0</v>
      </c>
      <c r="T58" s="1">
        <f>P58*1440/1114</f>
        <v>2.3913824057450626</v>
      </c>
      <c r="U58" s="7">
        <f t="shared" ref="U58:U59" si="180">(1-ABS(T58-J58)/J58)*100%</f>
        <v>0.956552962298025</v>
      </c>
    </row>
    <row r="59" spans="1:21" x14ac:dyDescent="0.25">
      <c r="A59">
        <v>56</v>
      </c>
      <c r="B59">
        <v>286</v>
      </c>
      <c r="C59">
        <v>159</v>
      </c>
      <c r="D59">
        <v>0</v>
      </c>
      <c r="E59">
        <v>0</v>
      </c>
      <c r="F59" s="6">
        <v>45925.719444444447</v>
      </c>
      <c r="G59" s="6">
        <v>45926.490277777775</v>
      </c>
      <c r="H59">
        <v>12</v>
      </c>
      <c r="I59">
        <v>10.3</v>
      </c>
      <c r="J59">
        <v>2.5</v>
      </c>
      <c r="K59" t="s">
        <v>37</v>
      </c>
      <c r="N59" s="3">
        <f t="shared" si="174"/>
        <v>0.77083333332848269</v>
      </c>
      <c r="O59" s="4">
        <f t="shared" si="175"/>
        <v>0.77083333332848269</v>
      </c>
      <c r="P59" s="5">
        <f t="shared" si="176"/>
        <v>1.6999999999999993</v>
      </c>
      <c r="Q59" s="1">
        <f t="shared" si="177"/>
        <v>0</v>
      </c>
      <c r="R59" s="5">
        <f t="shared" si="178"/>
        <v>1.9270833333212067</v>
      </c>
      <c r="S59">
        <f t="shared" si="179"/>
        <v>0</v>
      </c>
      <c r="T59" s="1">
        <f>P59*1440/1110</f>
        <v>2.2054054054054046</v>
      </c>
      <c r="U59" s="7">
        <f t="shared" si="180"/>
        <v>0.88216216216216181</v>
      </c>
    </row>
    <row r="60" spans="1:21" x14ac:dyDescent="0.25">
      <c r="A60">
        <v>57</v>
      </c>
      <c r="B60">
        <v>286</v>
      </c>
      <c r="C60">
        <v>159</v>
      </c>
      <c r="D60">
        <v>0</v>
      </c>
      <c r="E60">
        <v>0</v>
      </c>
      <c r="F60" s="6">
        <v>45926.496527777781</v>
      </c>
      <c r="G60" s="6">
        <v>45926.574999999997</v>
      </c>
      <c r="H60">
        <v>10.3</v>
      </c>
      <c r="I60">
        <v>10.1</v>
      </c>
      <c r="J60">
        <v>2.5</v>
      </c>
      <c r="K60" t="s">
        <v>37</v>
      </c>
      <c r="N60" s="3">
        <f t="shared" ref="N60:N61" si="181">G60-F60</f>
        <v>7.847222221607808E-2</v>
      </c>
      <c r="O60" s="4">
        <f t="shared" ref="O60:O61" si="182">N60</f>
        <v>7.847222221607808E-2</v>
      </c>
      <c r="P60" s="5">
        <f t="shared" ref="P60:P61" si="183">H60-I60</f>
        <v>0.20000000000000107</v>
      </c>
      <c r="Q60" s="1">
        <f t="shared" ref="Q60:Q61" si="184">ABS((E60-D60)/0.9982)</f>
        <v>0</v>
      </c>
      <c r="R60" s="5">
        <f t="shared" ref="R60:R61" si="185">J60*O60</f>
        <v>0.1961805555401952</v>
      </c>
      <c r="S60">
        <f t="shared" ref="S60:S61" si="186">(1-ABS(Q60-R60)/R60)*100</f>
        <v>0</v>
      </c>
      <c r="T60" s="1">
        <f>P60*1440/113</f>
        <v>2.5486725663716951</v>
      </c>
      <c r="U60" s="7">
        <f t="shared" ref="U60:U61" si="187">(1-ABS(T60-J60)/J60)*100%</f>
        <v>0.9805309734513219</v>
      </c>
    </row>
    <row r="61" spans="1:21" x14ac:dyDescent="0.25">
      <c r="A61">
        <v>58</v>
      </c>
      <c r="D61">
        <v>0</v>
      </c>
      <c r="E61">
        <v>0</v>
      </c>
      <c r="F61" s="6">
        <v>45926.494444444441</v>
      </c>
      <c r="G61" s="6">
        <v>45926.575694444444</v>
      </c>
      <c r="H61">
        <v>5.75</v>
      </c>
      <c r="I61">
        <v>5.55</v>
      </c>
      <c r="J61">
        <v>2.5</v>
      </c>
      <c r="K61" t="s">
        <v>37</v>
      </c>
      <c r="N61" s="3">
        <f t="shared" si="181"/>
        <v>8.1250000002910383E-2</v>
      </c>
      <c r="O61" s="4">
        <f t="shared" si="182"/>
        <v>8.1250000002910383E-2</v>
      </c>
      <c r="P61" s="5">
        <f t="shared" si="183"/>
        <v>0.20000000000000018</v>
      </c>
      <c r="Q61" s="1">
        <f t="shared" si="184"/>
        <v>0</v>
      </c>
      <c r="R61" s="5">
        <f t="shared" si="185"/>
        <v>0.20312500000727596</v>
      </c>
      <c r="S61">
        <f t="shared" si="186"/>
        <v>0</v>
      </c>
      <c r="T61" s="1">
        <f>P61*1440/117</f>
        <v>2.4615384615384635</v>
      </c>
      <c r="U61" s="7">
        <f t="shared" si="187"/>
        <v>0.98461538461538534</v>
      </c>
    </row>
    <row r="62" spans="1:21" x14ac:dyDescent="0.25">
      <c r="A62">
        <v>59</v>
      </c>
      <c r="B62">
        <v>286</v>
      </c>
      <c r="C62">
        <v>159</v>
      </c>
      <c r="D62">
        <v>0</v>
      </c>
      <c r="E62">
        <v>0</v>
      </c>
      <c r="F62" s="6">
        <v>45926.575694444444</v>
      </c>
      <c r="G62" s="6">
        <v>45926.655555555553</v>
      </c>
      <c r="H62">
        <v>5.6</v>
      </c>
      <c r="I62">
        <v>3.45</v>
      </c>
      <c r="J62">
        <v>25</v>
      </c>
      <c r="K62" t="s">
        <v>37</v>
      </c>
      <c r="N62" s="3">
        <f t="shared" ref="N62" si="188">G62-F62</f>
        <v>7.9861111109494232E-2</v>
      </c>
      <c r="O62" s="4">
        <f t="shared" ref="O62" si="189">N62</f>
        <v>7.9861111109494232E-2</v>
      </c>
      <c r="P62" s="5">
        <f t="shared" ref="P62" si="190">H62-I62</f>
        <v>2.1499999999999995</v>
      </c>
      <c r="Q62" s="1">
        <f t="shared" ref="Q62" si="191">ABS((E62-D62)/0.9982)</f>
        <v>0</v>
      </c>
      <c r="R62" s="5">
        <f t="shared" ref="R62" si="192">J62*O62</f>
        <v>1.9965277777373558</v>
      </c>
      <c r="S62">
        <f t="shared" ref="S62" si="193">(1-ABS(Q62-R62)/R62)*100</f>
        <v>0</v>
      </c>
      <c r="T62" s="1">
        <f>P62*1440/115</f>
        <v>26.921739130434776</v>
      </c>
      <c r="U62" s="7">
        <f t="shared" ref="U62" si="194">(1-ABS(T62-J62)/J62)*100%</f>
        <v>0.92313043478260892</v>
      </c>
    </row>
    <row r="63" spans="1:21" x14ac:dyDescent="0.25">
      <c r="A63">
        <v>60</v>
      </c>
      <c r="B63">
        <v>286</v>
      </c>
      <c r="C63">
        <v>159</v>
      </c>
      <c r="D63">
        <v>0</v>
      </c>
      <c r="E63">
        <v>0</v>
      </c>
      <c r="F63" s="6">
        <v>45926.663888888892</v>
      </c>
      <c r="G63" s="6">
        <v>45929.73333333333</v>
      </c>
      <c r="H63">
        <v>12</v>
      </c>
      <c r="I63">
        <v>4.5</v>
      </c>
      <c r="J63">
        <v>2.5</v>
      </c>
      <c r="K63" t="s">
        <v>37</v>
      </c>
      <c r="N63" s="3">
        <f t="shared" ref="N63:N64" si="195">G63-F63</f>
        <v>3.0694444444379769</v>
      </c>
      <c r="O63" s="4">
        <f t="shared" ref="O63:O64" si="196">N63</f>
        <v>3.0694444444379769</v>
      </c>
      <c r="P63" s="5">
        <f t="shared" ref="P63:P64" si="197">H63-I63</f>
        <v>7.5</v>
      </c>
      <c r="Q63" s="1">
        <f t="shared" ref="Q63:Q64" si="198">ABS((E63-D63)/0.9982)</f>
        <v>0</v>
      </c>
      <c r="R63" s="5">
        <f t="shared" ref="R63:R64" si="199">J63*O63</f>
        <v>7.6736111110949423</v>
      </c>
      <c r="S63">
        <f t="shared" ref="S63:S64" si="200">(1-ABS(Q63-R63)/R63)*100</f>
        <v>0</v>
      </c>
      <c r="T63" s="1">
        <f>P63*1440/4420</f>
        <v>2.4434389140271495</v>
      </c>
      <c r="U63" s="7">
        <f t="shared" ref="U63:U64" si="201">(1-ABS(T63-J63)/J63)*100%</f>
        <v>0.97737556561085981</v>
      </c>
    </row>
    <row r="64" spans="1:21" x14ac:dyDescent="0.25">
      <c r="A64">
        <v>61</v>
      </c>
      <c r="D64">
        <v>0</v>
      </c>
      <c r="E64">
        <v>0</v>
      </c>
      <c r="F64" s="6">
        <v>45926.663194444445</v>
      </c>
      <c r="G64" s="6">
        <v>45929.73333333333</v>
      </c>
      <c r="H64">
        <v>12</v>
      </c>
      <c r="I64">
        <v>4.2</v>
      </c>
      <c r="J64">
        <v>2.5</v>
      </c>
      <c r="K64" t="s">
        <v>37</v>
      </c>
      <c r="N64" s="3">
        <f t="shared" si="195"/>
        <v>3.070138888884685</v>
      </c>
      <c r="O64" s="4">
        <f t="shared" si="196"/>
        <v>3.070138888884685</v>
      </c>
      <c r="P64" s="5">
        <f t="shared" si="197"/>
        <v>7.8</v>
      </c>
      <c r="Q64" s="1">
        <f t="shared" si="198"/>
        <v>0</v>
      </c>
      <c r="R64" s="5">
        <f t="shared" si="199"/>
        <v>7.6753472222117125</v>
      </c>
      <c r="S64">
        <f t="shared" si="200"/>
        <v>0</v>
      </c>
      <c r="T64" s="1">
        <f>P64*1440/4421</f>
        <v>2.5406016738294506</v>
      </c>
      <c r="U64" s="7">
        <f t="shared" si="201"/>
        <v>0.98375933046821973</v>
      </c>
    </row>
    <row r="65" spans="1:21" x14ac:dyDescent="0.25">
      <c r="A65">
        <v>62</v>
      </c>
      <c r="D65">
        <v>0</v>
      </c>
      <c r="E65">
        <v>0</v>
      </c>
      <c r="F65" s="6">
        <v>45931.513888888891</v>
      </c>
      <c r="G65" s="6">
        <v>45933.553472222222</v>
      </c>
      <c r="H65">
        <v>12</v>
      </c>
      <c r="I65">
        <v>7</v>
      </c>
      <c r="J65">
        <v>2.5</v>
      </c>
      <c r="K65" t="s">
        <v>37</v>
      </c>
      <c r="N65" s="3">
        <f t="shared" ref="N65" si="202">G65-F65</f>
        <v>2.0395833333313931</v>
      </c>
      <c r="O65" s="4">
        <f t="shared" ref="O65" si="203">N65</f>
        <v>2.0395833333313931</v>
      </c>
      <c r="P65" s="5">
        <f t="shared" ref="P65" si="204">H65-I65</f>
        <v>5</v>
      </c>
      <c r="Q65" s="1">
        <f t="shared" ref="Q65" si="205">ABS((E65-D65)/0.9982)</f>
        <v>0</v>
      </c>
      <c r="R65" s="5">
        <f t="shared" ref="R65" si="206">J65*O65</f>
        <v>5.0989583333284827</v>
      </c>
      <c r="S65">
        <f t="shared" ref="S65" si="207">(1-ABS(Q65-R65)/R65)*100</f>
        <v>0</v>
      </c>
      <c r="T65" s="1">
        <f>P65*1440/2937</f>
        <v>2.4514811031664965</v>
      </c>
      <c r="U65" s="7">
        <f t="shared" ref="U65" si="208">(1-ABS(T65-J65)/J65)*100%</f>
        <v>0.98059244126659861</v>
      </c>
    </row>
    <row r="66" spans="1:21" x14ac:dyDescent="0.25">
      <c r="F66" s="6"/>
      <c r="G66" s="6"/>
      <c r="N66" s="3"/>
      <c r="O66" s="4"/>
      <c r="P66" s="5"/>
      <c r="Q66" s="1"/>
      <c r="R66" s="5"/>
      <c r="T66" s="1"/>
      <c r="U66" s="7"/>
    </row>
    <row r="67" spans="1:21" x14ac:dyDescent="0.25">
      <c r="F67" s="6"/>
      <c r="G67" s="6"/>
      <c r="N67" s="3"/>
      <c r="O67" s="4"/>
      <c r="P67" s="5"/>
      <c r="Q67" s="1"/>
      <c r="R67" s="5"/>
      <c r="T67" s="1"/>
      <c r="U67" s="7"/>
    </row>
    <row r="68" spans="1:21" x14ac:dyDescent="0.25">
      <c r="F68" s="6"/>
      <c r="G68" s="6"/>
      <c r="N68" s="3"/>
      <c r="O68" s="4"/>
      <c r="P68" s="5"/>
      <c r="Q68" s="1"/>
      <c r="R68" s="5"/>
      <c r="T68" s="1"/>
      <c r="U68" s="7"/>
    </row>
    <row r="69" spans="1:21" x14ac:dyDescent="0.25">
      <c r="F69" s="6"/>
      <c r="G69" s="6"/>
      <c r="N69" s="3"/>
      <c r="O69" s="4"/>
      <c r="P69" s="5"/>
      <c r="Q69" s="1"/>
      <c r="R69" s="5"/>
      <c r="T69" s="1"/>
      <c r="U69" s="7"/>
    </row>
    <row r="70" spans="1:21" x14ac:dyDescent="0.25">
      <c r="F70" s="6"/>
      <c r="G70" s="6"/>
      <c r="N70" s="3"/>
      <c r="O70" s="4"/>
      <c r="P70" s="5"/>
      <c r="Q70" s="1"/>
      <c r="R70" s="5"/>
      <c r="T70" s="1"/>
      <c r="U70" s="7"/>
    </row>
    <row r="71" spans="1:21" x14ac:dyDescent="0.25">
      <c r="A71">
        <v>1</v>
      </c>
      <c r="D71">
        <v>0</v>
      </c>
      <c r="E71">
        <v>0</v>
      </c>
      <c r="F71" s="11">
        <v>45903.534722222219</v>
      </c>
      <c r="G71" s="11">
        <v>45905.469444444447</v>
      </c>
      <c r="H71">
        <v>11.7</v>
      </c>
      <c r="I71">
        <v>7</v>
      </c>
      <c r="J71">
        <v>2.5</v>
      </c>
      <c r="N71" s="3">
        <f t="shared" ref="N71" si="209">G71-F71</f>
        <v>1.9347222222277196</v>
      </c>
      <c r="O71" s="4">
        <f t="shared" ref="O71" si="210">N71</f>
        <v>1.9347222222277196</v>
      </c>
      <c r="P71" s="5">
        <f t="shared" ref="P71" si="211">H71-I71</f>
        <v>4.6999999999999993</v>
      </c>
      <c r="Q71" s="1">
        <f t="shared" ref="Q71" si="212">ABS((E71-D71)/0.9982)</f>
        <v>0</v>
      </c>
      <c r="R71" s="5">
        <f t="shared" ref="R71" si="213">J71*O71</f>
        <v>4.836805555569299</v>
      </c>
      <c r="S71">
        <f t="shared" ref="S71" si="214">(1-ABS(Q71-R71)/R71)*100</f>
        <v>0</v>
      </c>
      <c r="T71" s="1">
        <f>P71*1440/2786</f>
        <v>2.4292893036611627</v>
      </c>
      <c r="U71" s="7">
        <f t="shared" ref="U71" si="215">(1-ABS(T71-J71)/J71)*100%</f>
        <v>0.97171572146446505</v>
      </c>
    </row>
    <row r="72" spans="1:21" x14ac:dyDescent="0.25">
      <c r="A72">
        <v>1</v>
      </c>
      <c r="F72" s="11">
        <v>45905.501388888886</v>
      </c>
      <c r="G72" s="11">
        <v>45908.460416666669</v>
      </c>
      <c r="H72">
        <v>10.1</v>
      </c>
      <c r="I72">
        <v>2.7</v>
      </c>
      <c r="J72">
        <v>2.5</v>
      </c>
      <c r="N72" s="3">
        <f t="shared" ref="N72" si="216">G72-F72</f>
        <v>2.9590277777824667</v>
      </c>
      <c r="O72" s="4">
        <f t="shared" ref="O72" si="217">N72</f>
        <v>2.9590277777824667</v>
      </c>
      <c r="P72" s="5">
        <f t="shared" ref="P72" si="218">H72-I72</f>
        <v>7.3999999999999995</v>
      </c>
      <c r="Q72" s="1">
        <f t="shared" ref="Q72" si="219">ABS((E72-D72)/0.9982)</f>
        <v>0</v>
      </c>
      <c r="R72" s="5">
        <f t="shared" ref="R72" si="220">J72*O72</f>
        <v>7.3975694444561668</v>
      </c>
      <c r="S72">
        <f t="shared" ref="S72" si="221">(1-ABS(Q72-R72)/R72)*100</f>
        <v>0</v>
      </c>
      <c r="T72" s="1">
        <f>P72*1440/4261</f>
        <v>2.5008214034264258</v>
      </c>
      <c r="U72" s="7">
        <f t="shared" ref="U72" si="222">(1-ABS(T72-J72)/J72)*100%</f>
        <v>0.99967143862942964</v>
      </c>
    </row>
    <row r="73" spans="1:21" x14ac:dyDescent="0.25">
      <c r="A73">
        <v>2</v>
      </c>
      <c r="F73" s="11">
        <v>45909.48541666667</v>
      </c>
      <c r="G73" s="11">
        <v>45911.393750000003</v>
      </c>
      <c r="H73">
        <v>10.7</v>
      </c>
      <c r="I73">
        <v>6</v>
      </c>
      <c r="J73">
        <v>2.5</v>
      </c>
      <c r="N73" s="3">
        <f t="shared" ref="N73" si="223">G73-F73</f>
        <v>1.9083333333328483</v>
      </c>
      <c r="O73" s="4">
        <f t="shared" ref="O73" si="224">N73</f>
        <v>1.9083333333328483</v>
      </c>
      <c r="P73" s="5">
        <f t="shared" ref="P73" si="225">H73-I73</f>
        <v>4.6999999999999993</v>
      </c>
      <c r="Q73" s="1">
        <f t="shared" ref="Q73" si="226">ABS((E73-D73)/0.9982)</f>
        <v>0</v>
      </c>
      <c r="R73" s="5">
        <f t="shared" ref="R73" si="227">J73*O73</f>
        <v>4.7708333333321207</v>
      </c>
      <c r="S73">
        <f t="shared" ref="S73" si="228">(1-ABS(Q73-R73)/R73)*100</f>
        <v>0</v>
      </c>
      <c r="T73" s="1">
        <f>P73*1440/2748</f>
        <v>2.4628820960698685</v>
      </c>
      <c r="U73" s="7">
        <f t="shared" ref="U73" si="229">(1-ABS(T73-J73)/J73)*100%</f>
        <v>0.98515283842794743</v>
      </c>
    </row>
    <row r="74" spans="1:21" x14ac:dyDescent="0.25">
      <c r="A74">
        <v>3</v>
      </c>
      <c r="F74" s="11">
        <v>45912.517361111109</v>
      </c>
      <c r="G74" s="11">
        <v>45915.452777777777</v>
      </c>
      <c r="H74">
        <v>11.2</v>
      </c>
      <c r="I74">
        <v>2.4</v>
      </c>
      <c r="J74">
        <v>2.5</v>
      </c>
      <c r="N74" s="3">
        <f t="shared" ref="N74" si="230">G74-F74</f>
        <v>2.9354166666671517</v>
      </c>
      <c r="O74" s="4">
        <f t="shared" ref="O74" si="231">N74</f>
        <v>2.9354166666671517</v>
      </c>
      <c r="P74" s="5">
        <f t="shared" ref="P74" si="232">H74-I74</f>
        <v>8.7999999999999989</v>
      </c>
      <c r="Q74" s="1">
        <f t="shared" ref="Q74" si="233">ABS((E74-D74)/0.9982)</f>
        <v>0</v>
      </c>
      <c r="R74" s="5">
        <f t="shared" ref="R74" si="234">J74*O74</f>
        <v>7.3385416666678793</v>
      </c>
      <c r="S74">
        <f t="shared" ref="S74" si="235">(1-ABS(Q74-R74)/R74)*100</f>
        <v>0</v>
      </c>
      <c r="T74" s="1">
        <f>P74*1440/4227</f>
        <v>2.997870830376153</v>
      </c>
      <c r="U74" s="7">
        <f t="shared" ref="U74" si="236">(1-ABS(T74-J74)/J74)*100%</f>
        <v>0.80085166784953876</v>
      </c>
    </row>
    <row r="75" spans="1:21" x14ac:dyDescent="0.25">
      <c r="A75">
        <v>3</v>
      </c>
      <c r="F75" s="11">
        <v>45915.701388888891</v>
      </c>
      <c r="G75" s="11">
        <v>45916.731944444444</v>
      </c>
      <c r="H75">
        <v>11.3</v>
      </c>
      <c r="I75">
        <v>8.3000000000000007</v>
      </c>
      <c r="J75">
        <v>2.5</v>
      </c>
      <c r="N75" s="3">
        <f t="shared" ref="N75:N76" si="237">G75-F75</f>
        <v>1.0305555555532919</v>
      </c>
      <c r="O75" s="4">
        <f t="shared" ref="O75:O76" si="238">N75</f>
        <v>1.0305555555532919</v>
      </c>
      <c r="P75" s="5">
        <f t="shared" ref="P75:P76" si="239">H75-I75</f>
        <v>3</v>
      </c>
      <c r="Q75" s="1">
        <f t="shared" ref="Q75:Q76" si="240">ABS((E75-D75)/0.9982)</f>
        <v>0</v>
      </c>
      <c r="R75" s="5">
        <f t="shared" ref="R75:R76" si="241">J75*O75</f>
        <v>2.5763888888832298</v>
      </c>
      <c r="S75">
        <f t="shared" ref="S75:S76" si="242">(1-ABS(Q75-R75)/R75)*100</f>
        <v>0</v>
      </c>
      <c r="T75" s="1">
        <f>P75*1440/1484</f>
        <v>2.9110512129380055</v>
      </c>
      <c r="U75" s="7">
        <f t="shared" ref="U75:U76" si="243">(1-ABS(T75-J75)/J75)*100%</f>
        <v>0.83557951482479775</v>
      </c>
    </row>
    <row r="76" spans="1:21" x14ac:dyDescent="0.25">
      <c r="A76">
        <v>3</v>
      </c>
      <c r="F76" s="11">
        <v>45919.415972222225</v>
      </c>
      <c r="G76" s="11">
        <v>45920.629166666666</v>
      </c>
      <c r="H76">
        <v>11.6</v>
      </c>
      <c r="I76">
        <v>7.5</v>
      </c>
      <c r="J76">
        <v>2.5</v>
      </c>
      <c r="N76" s="3">
        <f t="shared" si="237"/>
        <v>1.2131944444408873</v>
      </c>
      <c r="O76" s="4">
        <f t="shared" si="238"/>
        <v>1.2131944444408873</v>
      </c>
      <c r="P76" s="5">
        <f t="shared" si="239"/>
        <v>4.0999999999999996</v>
      </c>
      <c r="Q76" s="1">
        <f t="shared" si="240"/>
        <v>0</v>
      </c>
      <c r="R76" s="5">
        <f t="shared" si="241"/>
        <v>3.0329861111022183</v>
      </c>
      <c r="S76">
        <f t="shared" si="242"/>
        <v>0</v>
      </c>
      <c r="T76" s="1">
        <f>P76*1440/1747</f>
        <v>3.3795077275329128</v>
      </c>
      <c r="U76" s="7">
        <f t="shared" si="243"/>
        <v>0.64819690898683491</v>
      </c>
    </row>
    <row r="77" spans="1:21" x14ac:dyDescent="0.25">
      <c r="A77">
        <v>4</v>
      </c>
      <c r="F77" s="11">
        <v>45919.415972222225</v>
      </c>
      <c r="G77" s="11">
        <v>45922.427777777775</v>
      </c>
      <c r="H77">
        <v>11.6</v>
      </c>
      <c r="I77">
        <v>2.2000000000000002</v>
      </c>
      <c r="J77">
        <v>2.5</v>
      </c>
      <c r="N77" s="3">
        <f t="shared" ref="N77" si="244">G77-F77</f>
        <v>3.0118055555503815</v>
      </c>
      <c r="O77" s="4">
        <f t="shared" ref="O77" si="245">N77</f>
        <v>3.0118055555503815</v>
      </c>
      <c r="P77" s="5">
        <f t="shared" ref="P77" si="246">H77-I77</f>
        <v>9.3999999999999986</v>
      </c>
      <c r="Q77" s="1">
        <f t="shared" ref="Q77" si="247">ABS((E77-D77)/0.9982)</f>
        <v>0</v>
      </c>
      <c r="R77" s="5">
        <f t="shared" ref="R77" si="248">J77*O77</f>
        <v>7.5295138888759539</v>
      </c>
      <c r="S77">
        <f t="shared" ref="S77" si="249">(1-ABS(Q77-R77)/R77)*100</f>
        <v>0</v>
      </c>
      <c r="T77" s="1">
        <f>P77*1440/4337</f>
        <v>3.1210514180308966</v>
      </c>
      <c r="U77" s="7">
        <f t="shared" ref="U77" si="250">(1-ABS(T77-J77)/J77)*100%</f>
        <v>0.75157943278764139</v>
      </c>
    </row>
    <row r="78" spans="1:21" x14ac:dyDescent="0.25">
      <c r="A78">
        <v>5</v>
      </c>
      <c r="F78" s="11">
        <v>45930.557638888888</v>
      </c>
      <c r="G78" s="11">
        <v>45930.695138888892</v>
      </c>
      <c r="H78">
        <v>9.75</v>
      </c>
      <c r="I78">
        <v>9.5</v>
      </c>
      <c r="J78">
        <v>2.5</v>
      </c>
      <c r="N78" s="3">
        <f t="shared" ref="N78" si="251">G78-F78</f>
        <v>0.13750000000436557</v>
      </c>
      <c r="O78" s="4">
        <f t="shared" ref="O78" si="252">N78</f>
        <v>0.13750000000436557</v>
      </c>
      <c r="P78" s="5">
        <f t="shared" ref="P78" si="253">H78-I78</f>
        <v>0.25</v>
      </c>
      <c r="Q78" s="1">
        <f t="shared" ref="Q78" si="254">ABS((E78-D78)/0.9982)</f>
        <v>0</v>
      </c>
      <c r="R78" s="5">
        <f t="shared" ref="R78" si="255">J78*O78</f>
        <v>0.34375000001091394</v>
      </c>
      <c r="S78">
        <f t="shared" ref="S78" si="256">(1-ABS(Q78-R78)/R78)*100</f>
        <v>0</v>
      </c>
      <c r="T78" s="1">
        <f>P78*1440/198</f>
        <v>1.8181818181818181</v>
      </c>
      <c r="U78" s="7">
        <f t="shared" ref="U78" si="257">(1-ABS(T78-J78)/J78)*100%</f>
        <v>0.72727272727272729</v>
      </c>
    </row>
  </sheetData>
  <phoneticPr fontId="7" type="noConversion"/>
  <conditionalFormatting sqref="O4:O78">
    <cfRule type="colorScale" priority="6">
      <colorScale>
        <cfvo type="min"/>
        <cfvo type="max"/>
        <color rgb="FFFCFCFF"/>
        <color rgb="FF63BE7B"/>
      </colorScale>
    </cfRule>
  </conditionalFormatting>
  <conditionalFormatting sqref="U4:U7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21"/>
  <sheetViews>
    <sheetView workbookViewId="0">
      <selection activeCell="B22" sqref="B22"/>
    </sheetView>
  </sheetViews>
  <sheetFormatPr defaultRowHeight="15" x14ac:dyDescent="0.25"/>
  <cols>
    <col min="2" max="2" width="13.5703125" customWidth="1"/>
    <col min="3" max="3" width="11.5703125" customWidth="1"/>
    <col min="4" max="4" width="14.5703125" customWidth="1"/>
    <col min="5" max="5" width="20.7109375" customWidth="1"/>
    <col min="6" max="6" width="10" customWidth="1"/>
    <col min="7" max="7" width="11.85546875" customWidth="1"/>
    <col min="8" max="8" width="17.5703125" customWidth="1"/>
    <col min="9" max="9" width="20.42578125" customWidth="1"/>
    <col min="11" max="11" width="13.5703125" customWidth="1"/>
    <col min="12" max="12" width="18.5703125" customWidth="1"/>
    <col min="13" max="13" width="18.85546875" customWidth="1"/>
    <col min="14" max="14" width="28.140625" customWidth="1"/>
  </cols>
  <sheetData>
    <row r="2" spans="2:23" x14ac:dyDescent="0.2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2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2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2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816</v>
      </c>
      <c r="W5">
        <f>AVERAGE(V5,V6,V7,V8,V9)</f>
        <v>807.6</v>
      </c>
    </row>
    <row r="6" spans="2:23" x14ac:dyDescent="0.2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802</v>
      </c>
    </row>
    <row r="7" spans="2:23" x14ac:dyDescent="0.2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799</v>
      </c>
    </row>
    <row r="8" spans="2:23" x14ac:dyDescent="0.25">
      <c r="V8">
        <v>817</v>
      </c>
    </row>
    <row r="9" spans="2:23" x14ac:dyDescent="0.2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804</v>
      </c>
    </row>
    <row r="10" spans="2:23" x14ac:dyDescent="0.2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2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25">
      <c r="B13">
        <v>3</v>
      </c>
      <c r="C13">
        <v>2</v>
      </c>
      <c r="D13" s="11">
        <v>45909.48541666667</v>
      </c>
      <c r="E13">
        <v>994</v>
      </c>
      <c r="F13">
        <v>15</v>
      </c>
      <c r="G13">
        <v>10.7</v>
      </c>
    </row>
    <row r="14" spans="2:23" x14ac:dyDescent="0.25">
      <c r="B14">
        <v>3</v>
      </c>
      <c r="C14">
        <v>2</v>
      </c>
      <c r="D14" s="11">
        <v>45910.433333333334</v>
      </c>
      <c r="E14">
        <v>931</v>
      </c>
      <c r="F14">
        <v>15</v>
      </c>
      <c r="G14">
        <v>8.4499999999999993</v>
      </c>
      <c r="H14">
        <f>10.7-8.45</f>
        <v>2.25</v>
      </c>
      <c r="I14" s="3">
        <f>D14-D13</f>
        <v>0.94791666666424135</v>
      </c>
      <c r="M14">
        <f>994-931</f>
        <v>63</v>
      </c>
      <c r="N14" s="15" t="s">
        <v>38</v>
      </c>
    </row>
    <row r="15" spans="2:23" x14ac:dyDescent="0.25">
      <c r="B15">
        <v>3</v>
      </c>
      <c r="C15">
        <v>2</v>
      </c>
      <c r="D15" s="11">
        <v>45911.393750000003</v>
      </c>
      <c r="E15">
        <v>808</v>
      </c>
      <c r="F15">
        <v>20</v>
      </c>
      <c r="G15">
        <v>6</v>
      </c>
      <c r="H15">
        <f>8.45-6</f>
        <v>2.4499999999999993</v>
      </c>
      <c r="I15" s="3">
        <f>D15-D14</f>
        <v>0.96041666666860692</v>
      </c>
      <c r="K15" s="12">
        <f>SUM(I14,I15)</f>
        <v>1.9083333333328483</v>
      </c>
      <c r="L15">
        <f>SUM(H14,H15)</f>
        <v>4.6999999999999993</v>
      </c>
      <c r="M15">
        <f>931-808</f>
        <v>123</v>
      </c>
      <c r="N15">
        <f>SUM(M14,M15)</f>
        <v>186</v>
      </c>
    </row>
    <row r="17" spans="2:14" x14ac:dyDescent="0.25">
      <c r="B17">
        <v>4</v>
      </c>
      <c r="C17">
        <v>3</v>
      </c>
      <c r="D17" s="11">
        <v>45912.517361111109</v>
      </c>
      <c r="E17">
        <v>769</v>
      </c>
      <c r="F17">
        <v>15</v>
      </c>
      <c r="G17">
        <v>11.2</v>
      </c>
      <c r="K17" s="13"/>
    </row>
    <row r="18" spans="2:14" x14ac:dyDescent="0.25">
      <c r="B18">
        <v>4</v>
      </c>
      <c r="C18">
        <v>3</v>
      </c>
      <c r="D18" s="11">
        <v>45915.452777777777</v>
      </c>
      <c r="E18">
        <v>729</v>
      </c>
      <c r="F18">
        <v>15</v>
      </c>
      <c r="G18">
        <v>2.4</v>
      </c>
      <c r="H18">
        <f>11.2-2.4</f>
        <v>8.7999999999999989</v>
      </c>
      <c r="I18" s="3">
        <f>D18-D17</f>
        <v>2.9354166666671517</v>
      </c>
      <c r="M18">
        <f>E17-E18</f>
        <v>40</v>
      </c>
    </row>
    <row r="19" spans="2:14" x14ac:dyDescent="0.25">
      <c r="B19">
        <v>5</v>
      </c>
      <c r="C19">
        <v>3</v>
      </c>
      <c r="D19" s="11">
        <v>45915.701388888891</v>
      </c>
      <c r="E19">
        <v>725</v>
      </c>
      <c r="F19">
        <v>20</v>
      </c>
      <c r="G19">
        <v>11.3</v>
      </c>
      <c r="H19">
        <v>0.4</v>
      </c>
      <c r="I19" s="14">
        <v>0.1388888888888889</v>
      </c>
      <c r="M19">
        <f t="shared" ref="M19:M21" si="0">E18-E19</f>
        <v>4</v>
      </c>
    </row>
    <row r="20" spans="2:14" x14ac:dyDescent="0.25">
      <c r="B20">
        <v>5</v>
      </c>
      <c r="C20">
        <v>3</v>
      </c>
      <c r="D20" s="11">
        <v>45916.452777777777</v>
      </c>
      <c r="E20">
        <v>761</v>
      </c>
      <c r="F20">
        <v>20</v>
      </c>
      <c r="G20">
        <v>9.15</v>
      </c>
      <c r="H20">
        <f>11.3-9.15</f>
        <v>2.1500000000000004</v>
      </c>
      <c r="I20" s="3">
        <f>D20-D19</f>
        <v>0.75138888888614019</v>
      </c>
      <c r="M20">
        <f t="shared" si="0"/>
        <v>-36</v>
      </c>
      <c r="N20" s="15" t="s">
        <v>38</v>
      </c>
    </row>
    <row r="21" spans="2:14" x14ac:dyDescent="0.25">
      <c r="B21">
        <v>5</v>
      </c>
      <c r="C21">
        <v>3</v>
      </c>
      <c r="D21" s="11">
        <v>45916.731944444444</v>
      </c>
      <c r="E21">
        <v>800</v>
      </c>
      <c r="F21">
        <v>20</v>
      </c>
      <c r="G21">
        <v>8.3000000000000007</v>
      </c>
      <c r="H21">
        <f>9.15-8.3</f>
        <v>0.84999999999999964</v>
      </c>
      <c r="I21" s="3">
        <f>D21-D20</f>
        <v>0.27916666666715173</v>
      </c>
      <c r="K21" s="12">
        <f>SUM(I18,I19,I20,I21)</f>
        <v>4.1048611111093329</v>
      </c>
      <c r="L21">
        <f>SUM(H18,H19,H20,H21)</f>
        <v>12.2</v>
      </c>
      <c r="M21">
        <f t="shared" si="0"/>
        <v>-39</v>
      </c>
      <c r="N21">
        <f>SUM(M18,M19,M20,M21)</f>
        <v>-31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Cornea Measurements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2025-10-17T15:59:53Z</dcterms:modified>
</cp:coreProperties>
</file>