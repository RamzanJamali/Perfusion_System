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1E7701B1-71C1-47CF-B144-98F050264F52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 s="1"/>
  <c r="Q11" i="1"/>
  <c r="U11" i="1" s="1"/>
  <c r="R11" i="1"/>
  <c r="U10" i="1"/>
  <c r="O10" i="1"/>
  <c r="P10" i="1" s="1"/>
  <c r="Q10" i="1"/>
  <c r="R10" i="1"/>
  <c r="U9" i="1" l="1"/>
  <c r="O9" i="1"/>
  <c r="P9" i="1" s="1"/>
  <c r="Q9" i="1"/>
  <c r="R9" i="1"/>
  <c r="U8" i="1"/>
  <c r="O8" i="1"/>
  <c r="P8" i="1" s="1"/>
  <c r="Q8" i="1"/>
  <c r="R8" i="1"/>
  <c r="U7" i="1"/>
  <c r="O7" i="1"/>
  <c r="P7" i="1"/>
  <c r="Q7" i="1"/>
  <c r="R7" i="1"/>
  <c r="U6" i="1"/>
  <c r="O6" i="1"/>
  <c r="P6" i="1" s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<sst xmlns="http://schemas.openxmlformats.org/spreadsheetml/2006/main" count="18" uniqueCount="18">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</sst>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5"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1" totalsRowShown="0">
  <autoFilter ref="B3:L11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4"/>
    <tableColumn id="7" xr3:uid="{1D3E761D-6183-43C4-A343-C4E44D78FD50}" name="End_Time" dataDxfId="3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7" totalsRowShown="0">
  <autoFilter ref="O3:R7" xr:uid="{AFA1B13B-2067-4436-91E8-CE7B0EC89831}"/>
  <tableColumns count="4">
    <tableColumn id="1" xr3:uid="{97463821-DEE2-4F42-AC00-A7A61AC07CE0}" name="Duration" dataDxfId="2">
      <calculatedColumnFormula>H4-G4</calculatedColumnFormula>
    </tableColumn>
    <tableColumn id="4" xr3:uid="{052C2071-850E-42F5-A26B-889DB58815C3}" name="Duration in Min" dataDxfId="1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0">
      <calculatedColumnFormula>(F4-E4)/0.9982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11"/>
  <sheetViews>
    <sheetView tabSelected="1" workbookViewId="0">
      <selection activeCell="U11" sqref="U11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  <col min="21" max="21" width="9.36328125" bestFit="1" customWidth="1"/>
  </cols>
  <sheetData>
    <row r="3" spans="2:21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</row>
    <row r="4" spans="2:21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>H4-G4</f>
        <v>0.52430555555474712</v>
      </c>
      <c r="P4" s="4">
        <f>O4</f>
        <v>0.52430555555474712</v>
      </c>
      <c r="Q4" s="5">
        <f>I4-J4</f>
        <v>1.0999999999999996</v>
      </c>
      <c r="R4" s="1">
        <f>(F4-E4)/0.9982</f>
        <v>1.0018032458425166</v>
      </c>
      <c r="T4" s="5"/>
      <c r="U4" s="5">
        <f>Q4*1440/755</f>
        <v>2.0980132450331119</v>
      </c>
    </row>
    <row r="5" spans="2:21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>H5-G5</f>
        <v>0.17152777777664596</v>
      </c>
      <c r="P5" s="4">
        <f>O5</f>
        <v>0.17152777777664596</v>
      </c>
      <c r="Q5" s="5">
        <f>I5-J5</f>
        <v>0.40000000000000036</v>
      </c>
      <c r="R5" s="1">
        <f>(F5-E5)/0.9982</f>
        <v>0.30054097375275479</v>
      </c>
      <c r="U5" s="5">
        <f>Q5*1440/247</f>
        <v>2.3319838056680182</v>
      </c>
    </row>
    <row r="6" spans="2:21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>H6-G6</f>
        <v>0.7381944444423425</v>
      </c>
      <c r="P6" s="4">
        <f>O6</f>
        <v>0.7381944444423425</v>
      </c>
      <c r="Q6" s="5">
        <f>I6-J6</f>
        <v>1.6500000000000004</v>
      </c>
      <c r="R6" s="1">
        <f>(F6-E6)/0.9982</f>
        <v>1.4526147064716493</v>
      </c>
      <c r="U6" s="5">
        <f>Q6*1440/1052</f>
        <v>2.2585551330798483</v>
      </c>
    </row>
    <row r="7" spans="2:21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>H7-G7</f>
        <v>4.722222221607808E-2</v>
      </c>
      <c r="P7" s="4">
        <f>O7</f>
        <v>4.722222221607808E-2</v>
      </c>
      <c r="Q7" s="5">
        <f>I7-J7</f>
        <v>1</v>
      </c>
      <c r="R7" s="1">
        <f>(F7-E7)/0.9982</f>
        <v>0</v>
      </c>
      <c r="U7" s="5">
        <f>Q7*1440/68</f>
        <v>21.176470588235293</v>
      </c>
    </row>
    <row r="8" spans="2:21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>H8-G8</f>
        <v>4.2361111110949423E-2</v>
      </c>
      <c r="P8" s="4">
        <f>O8</f>
        <v>4.2361111110949423E-2</v>
      </c>
      <c r="Q8" s="5">
        <f>I8-J8</f>
        <v>0.95000000000000018</v>
      </c>
      <c r="R8" s="1">
        <f>(F8-E8)/0.9982</f>
        <v>0</v>
      </c>
      <c r="U8" s="5">
        <f>Q8*1440/61</f>
        <v>22.426229508196727</v>
      </c>
    </row>
    <row r="9" spans="2:21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>H9-G9</f>
        <v>9.2361111106583849E-2</v>
      </c>
      <c r="P9" s="4">
        <f>O9</f>
        <v>9.2361111106583849E-2</v>
      </c>
      <c r="Q9" s="5">
        <f>I9-J9</f>
        <v>2.5499999999999998</v>
      </c>
      <c r="R9" s="1">
        <f>(F9-E9)/0.9982</f>
        <v>0</v>
      </c>
      <c r="U9" s="5">
        <f>Q9*1440/133</f>
        <v>27.609022556390975</v>
      </c>
    </row>
    <row r="10" spans="2:21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>H10-G10</f>
        <v>7.1527777778101154E-2</v>
      </c>
      <c r="P10" s="4">
        <f>O10</f>
        <v>7.1527777778101154E-2</v>
      </c>
      <c r="Q10" s="5">
        <f>I10-J10</f>
        <v>2</v>
      </c>
      <c r="R10" s="1">
        <f>(F10-E10)/0.9982</f>
        <v>0</v>
      </c>
      <c r="U10" s="5">
        <f>Q10*1440/103</f>
        <v>27.961165048543688</v>
      </c>
    </row>
    <row r="11" spans="2:21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45869.718055555553</v>
      </c>
      <c r="H11" s="6">
        <v>45869.714583333334</v>
      </c>
      <c r="I11">
        <v>2</v>
      </c>
      <c r="J11">
        <v>2</v>
      </c>
      <c r="K11">
        <v>50</v>
      </c>
      <c r="O11" s="3">
        <f>H11-G11</f>
        <v>-3.4722222189884633E-3</v>
      </c>
      <c r="P11" s="4">
        <f>O11</f>
        <v>-3.4722222189884633E-3</v>
      </c>
      <c r="Q11" s="5">
        <f>I11-J11</f>
        <v>0</v>
      </c>
      <c r="R11" s="1">
        <f>(F11-E11)/0.9982</f>
        <v>0</v>
      </c>
      <c r="U11" s="5">
        <f>Q11*1440/103</f>
        <v>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2025-07-31T15:21:59Z</dcterms:modified>
</cp:coreProperties>
</file>