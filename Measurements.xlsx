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erfusion_System\"/>
    </mc:Choice>
  </mc:AlternateContent>
  <xr:revisionPtr revIDLastSave="0" documentId="13_ncr:1_{2DF34C13-7E26-4019-B772-C462A291048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P21" i="1" s="1"/>
  <c r="S21" i="1" s="1"/>
  <c r="Q21" i="1"/>
  <c r="U21" i="1" s="1"/>
  <c r="R21" i="1"/>
  <c r="U20" i="1"/>
  <c r="O20" i="1"/>
  <c r="P20" i="1" s="1"/>
  <c r="S20" i="1" s="1"/>
  <c r="Q20" i="1"/>
  <c r="R20" i="1"/>
  <c r="P45" i="1"/>
  <c r="N45" i="1"/>
  <c r="L45" i="1"/>
  <c r="W38" i="1"/>
  <c r="T38" i="1"/>
  <c r="T37" i="1"/>
  <c r="O38" i="1"/>
  <c r="L38" i="1"/>
  <c r="L37" i="1"/>
  <c r="T34" i="1"/>
  <c r="T33" i="1"/>
  <c r="P34" i="1"/>
  <c r="P35" i="1"/>
  <c r="P33" i="1"/>
  <c r="L34" i="1"/>
  <c r="L33" i="1"/>
  <c r="W29" i="1"/>
  <c r="W28" i="1"/>
  <c r="S29" i="1"/>
  <c r="S30" i="1"/>
  <c r="S28" i="1"/>
  <c r="O29" i="1"/>
  <c r="O30" i="1"/>
  <c r="O28" i="1"/>
  <c r="O19" i="1"/>
  <c r="P19" i="1" s="1"/>
  <c r="S19" i="1" s="1"/>
  <c r="Q19" i="1"/>
  <c r="U19" i="1" s="1"/>
  <c r="R19" i="1"/>
  <c r="O18" i="1"/>
  <c r="P18" i="1" s="1"/>
  <c r="S18" i="1" s="1"/>
  <c r="Q18" i="1"/>
  <c r="U18" i="1" s="1"/>
  <c r="R18" i="1"/>
  <c r="J29" i="1"/>
  <c r="J30" i="1" s="1"/>
  <c r="J31" i="1" s="1"/>
  <c r="J28" i="1"/>
  <c r="O17" i="1"/>
  <c r="P17" i="1" s="1"/>
  <c r="S17" i="1" s="1"/>
  <c r="Q17" i="1"/>
  <c r="U17" i="1" s="1"/>
  <c r="R17" i="1"/>
  <c r="O16" i="1"/>
  <c r="P16" i="1" s="1"/>
  <c r="S16" i="1" s="1"/>
  <c r="Q16" i="1"/>
  <c r="U16" i="1" s="1"/>
  <c r="V16" i="1" s="1"/>
  <c r="R16" i="1"/>
  <c r="O15" i="1"/>
  <c r="P15" i="1" s="1"/>
  <c r="S15" i="1" s="1"/>
  <c r="Q15" i="1"/>
  <c r="U15" i="1" s="1"/>
  <c r="R15" i="1"/>
  <c r="O14" i="1"/>
  <c r="P14" i="1" s="1"/>
  <c r="S14" i="1" s="1"/>
  <c r="Q14" i="1"/>
  <c r="U14" i="1" s="1"/>
  <c r="R14" i="1"/>
  <c r="O13" i="1"/>
  <c r="P13" i="1" s="1"/>
  <c r="S13" i="1" s="1"/>
  <c r="Q13" i="1"/>
  <c r="U13" i="1" s="1"/>
  <c r="R13" i="1"/>
  <c r="O12" i="1"/>
  <c r="P12" i="1" s="1"/>
  <c r="S12" i="1" s="1"/>
  <c r="Q12" i="1"/>
  <c r="U12" i="1" s="1"/>
  <c r="R12" i="1"/>
  <c r="O11" i="1"/>
  <c r="P11" i="1" s="1"/>
  <c r="S11" i="1" s="1"/>
  <c r="Q11" i="1"/>
  <c r="U11" i="1" s="1"/>
  <c r="V11" i="1" s="1"/>
  <c r="R11" i="1"/>
  <c r="O10" i="1"/>
  <c r="P10" i="1" s="1"/>
  <c r="S10" i="1" s="1"/>
  <c r="Q10" i="1"/>
  <c r="U10" i="1" s="1"/>
  <c r="V10" i="1" s="1"/>
  <c r="R10" i="1"/>
  <c r="V21" i="1" l="1"/>
  <c r="V20" i="1"/>
  <c r="V19" i="1"/>
  <c r="V18" i="1"/>
  <c r="V17" i="1"/>
  <c r="V15" i="1"/>
  <c r="V14" i="1"/>
  <c r="V13" i="1"/>
  <c r="V12" i="1"/>
  <c r="U9" i="1"/>
  <c r="V9" i="1" s="1"/>
  <c r="O9" i="1"/>
  <c r="P9" i="1" s="1"/>
  <c r="S9" i="1" s="1"/>
  <c r="Q9" i="1"/>
  <c r="R9" i="1"/>
  <c r="U8" i="1"/>
  <c r="V8" i="1" s="1"/>
  <c r="O8" i="1"/>
  <c r="P8" i="1" s="1"/>
  <c r="S8" i="1" s="1"/>
  <c r="Q8" i="1"/>
  <c r="R8" i="1"/>
  <c r="U7" i="1"/>
  <c r="V7" i="1" s="1"/>
  <c r="O7" i="1"/>
  <c r="P7" i="1"/>
  <c r="S7" i="1" s="1"/>
  <c r="Q7" i="1"/>
  <c r="R7" i="1"/>
  <c r="O6" i="1"/>
  <c r="P6" i="1" s="1"/>
  <c r="S6" i="1" s="1"/>
  <c r="Q6" i="1"/>
  <c r="U6" i="1" s="1"/>
  <c r="V6" i="1" s="1"/>
  <c r="R6" i="1"/>
  <c r="Q5" i="1"/>
  <c r="U5" i="1" s="1"/>
  <c r="V5" i="1" s="1"/>
  <c r="R5" i="1"/>
  <c r="O5" i="1"/>
  <c r="P5" i="1" s="1"/>
  <c r="S5" i="1" s="1"/>
  <c r="O4" i="1"/>
  <c r="P4" i="1" s="1"/>
  <c r="S4" i="1" s="1"/>
  <c r="R4" i="1"/>
  <c r="Q4" i="1"/>
  <c r="U4" i="1" s="1"/>
  <c r="V4" i="1" s="1"/>
</calcChain>
</file>

<file path=xl/sharedStrings.xml><?xml version="1.0" encoding="utf-8"?>
<sst xmlns="http://schemas.openxmlformats.org/spreadsheetml/2006/main" count="21" uniqueCount="21">
  <si>
    <t>Raw_High</t>
  </si>
  <si>
    <t>Raw_Low</t>
  </si>
  <si>
    <t>Empty_Weight</t>
  </si>
  <si>
    <t>Final_Weight</t>
  </si>
  <si>
    <t>Start_Time</t>
  </si>
  <si>
    <t>End_Time</t>
  </si>
  <si>
    <t>Index</t>
  </si>
  <si>
    <t>Note</t>
  </si>
  <si>
    <t>Weight of the pipe was not included!</t>
  </si>
  <si>
    <t>Duration</t>
  </si>
  <si>
    <t>Volume by Syringe</t>
  </si>
  <si>
    <t>Volume by Weight</t>
  </si>
  <si>
    <t>Duration in Min</t>
  </si>
  <si>
    <t>Start_Volume (mL)</t>
  </si>
  <si>
    <t>End_Volume (mL)</t>
  </si>
  <si>
    <t>Flow_Rate (mL/Day)</t>
  </si>
  <si>
    <t>Flow-Rate</t>
  </si>
  <si>
    <t>Valve not connected</t>
  </si>
  <si>
    <t>Accuracy</t>
  </si>
  <si>
    <t>Expected Vol for Perfusion</t>
  </si>
  <si>
    <t>Short Duration, less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</si>
</sst>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m/d/yyyy\ h:mm:ss"/>
    <numFmt numFmtId="166" formatCode="[m]"/>
    <numFmt numFmtId="167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5B9BD5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1" fillId="0" borderId="1" xfId="0" applyNumberFormat="1" applyFont="1" applyBorder="1"/>
    <xf numFmtId="46" fontId="2" fillId="0" borderId="0" xfId="0" applyNumberFormat="1" applyFont="1"/>
    <xf numFmtId="166" fontId="2" fillId="0" borderId="0" xfId="0" applyNumberFormat="1" applyFont="1"/>
    <xf numFmtId="2" fontId="0" fillId="0" borderId="0" xfId="0" applyNumberFormat="1"/>
    <xf numFmtId="167" fontId="0" fillId="0" borderId="0" xfId="0" applyNumberFormat="1"/>
    <xf numFmtId="10" fontId="0" fillId="0" borderId="0" xfId="1" applyNumberFormat="1" applyFont="1"/>
    <xf numFmtId="0" fontId="4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4" formatCode="0.000"/>
    </dxf>
    <dxf>
      <numFmt numFmtId="2" formatCode="0.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[m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1" formatCode="[h]:mm:ss"/>
    </dxf>
    <dxf>
      <numFmt numFmtId="167" formatCode="[$-F400]h:mm:ss\ AM/PM"/>
    </dxf>
    <dxf>
      <numFmt numFmtId="167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9537A-AD85-40E4-8132-CD746B4A4B1E}" name="Table1" displayName="Table1" ref="B3:L21" totalsRowShown="0">
  <autoFilter ref="B3:L21" xr:uid="{5A39537A-AD85-40E4-8132-CD746B4A4B1E}"/>
  <tableColumns count="11">
    <tableColumn id="1" xr3:uid="{7F49C8BC-1009-4421-9279-20BA630C3F5B}" name="Index"/>
    <tableColumn id="2" xr3:uid="{5E47D918-C96A-47BF-882D-1F6F0C3B3A06}" name="Raw_High"/>
    <tableColumn id="3" xr3:uid="{42042122-A3C7-45DE-BE04-EE362424866A}" name="Raw_Low"/>
    <tableColumn id="4" xr3:uid="{38749820-830E-4531-9B07-60F99E376E35}" name="Empty_Weight"/>
    <tableColumn id="5" xr3:uid="{3C6786F6-9E55-48CD-86D5-85BF334A8548}" name="Final_Weight"/>
    <tableColumn id="6" xr3:uid="{880A759E-940B-4C0C-99C2-58AD72247495}" name="Start_Time" dataDxfId="7"/>
    <tableColumn id="7" xr3:uid="{1D3E761D-6183-43C4-A343-C4E44D78FD50}" name="End_Time" dataDxfId="6"/>
    <tableColumn id="8" xr3:uid="{75A5C027-3B36-48B6-86D0-E5E9FA3F4DCE}" name="Start_Volume (mL)"/>
    <tableColumn id="9" xr3:uid="{C4D2723B-1B01-441D-85D6-13310EAF7F91}" name="End_Volume (mL)"/>
    <tableColumn id="10" xr3:uid="{67DF149A-872D-49FA-A2C7-03C36BF4252C}" name="Flow_Rate (mL/Day)"/>
    <tableColumn id="11" xr3:uid="{4C918E9C-6C56-44E4-AAB9-748906BB462D}" name="Not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A1B13B-2067-4436-91E8-CE7B0EC89831}" name="Table2" displayName="Table2" ref="O3:S19" totalsRowShown="0">
  <autoFilter ref="O3:S19" xr:uid="{AFA1B13B-2067-4436-91E8-CE7B0EC89831}"/>
  <tableColumns count="5">
    <tableColumn id="1" xr3:uid="{97463821-DEE2-4F42-AC00-A7A61AC07CE0}" name="Duration" dataDxfId="5">
      <calculatedColumnFormula>H4-G4</calculatedColumnFormula>
    </tableColumn>
    <tableColumn id="4" xr3:uid="{052C2071-850E-42F5-A26B-889DB58815C3}" name="Duration in Min" dataDxfId="4">
      <calculatedColumnFormula>O4</calculatedColumnFormula>
    </tableColumn>
    <tableColumn id="2" xr3:uid="{D45938C1-DA43-4572-97E8-35C0F3958EB1}" name="Volume by Syringe">
      <calculatedColumnFormula>I4-J4</calculatedColumnFormula>
    </tableColumn>
    <tableColumn id="3" xr3:uid="{CE281EF5-AD90-4E03-8914-DD9A9D900FAD}" name="Volume by Weight" dataDxfId="3">
      <calculatedColumnFormula>(F4-E4)/0.9982</calculatedColumnFormula>
    </tableColumn>
    <tableColumn id="5" xr3:uid="{9AD10D29-13FB-4A61-B0DA-D4754470DC60}" name="Expected Vol for Perfusion" dataDxfId="2">
      <calculatedColumnFormula>K4*P4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19AA0D-6755-4C9D-BD52-00C6A845A2F0}" name="Table3" displayName="Table3" ref="U3:V11" totalsRowShown="0">
  <autoFilter ref="U3:V11" xr:uid="{B419AA0D-6755-4C9D-BD52-00C6A845A2F0}"/>
  <tableColumns count="2">
    <tableColumn id="1" xr3:uid="{63D487F6-0EFF-42C3-90F0-E4DF35C983DE}" name="Flow-Rate" dataDxfId="1"/>
    <tableColumn id="2" xr3:uid="{805730DE-BF4F-464F-9520-598D1BFA9242}" name="Accuracy" dataDxfId="0" dataCellStyle="Percent">
      <calculatedColumnFormula>(1-ABS(U4-K4)/K4)*100%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W45"/>
  <sheetViews>
    <sheetView tabSelected="1" workbookViewId="0">
      <selection activeCell="L22" sqref="L22"/>
    </sheetView>
  </sheetViews>
  <sheetFormatPr defaultRowHeight="14.5" x14ac:dyDescent="0.35"/>
  <cols>
    <col min="2" max="2" width="10.36328125" customWidth="1"/>
    <col min="3" max="4" width="12.08984375" customWidth="1"/>
    <col min="5" max="5" width="16.7265625" customWidth="1"/>
    <col min="6" max="6" width="15.1796875" customWidth="1"/>
    <col min="7" max="7" width="21.7265625" customWidth="1"/>
    <col min="8" max="8" width="22.08984375" customWidth="1"/>
    <col min="9" max="9" width="18.90625" customWidth="1"/>
    <col min="10" max="10" width="18.36328125" customWidth="1"/>
    <col min="11" max="11" width="20.6328125" customWidth="1"/>
    <col min="12" max="12" width="23.453125" customWidth="1"/>
    <col min="15" max="15" width="12.453125" customWidth="1"/>
    <col min="16" max="16" width="16.26953125" customWidth="1"/>
    <col min="17" max="17" width="18.54296875" customWidth="1"/>
    <col min="18" max="18" width="19.7265625" customWidth="1"/>
    <col min="19" max="19" width="25.36328125" customWidth="1"/>
    <col min="21" max="21" width="11.54296875" customWidth="1"/>
    <col min="22" max="22" width="10.6328125" customWidth="1"/>
  </cols>
  <sheetData>
    <row r="3" spans="2:22" x14ac:dyDescent="0.35"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13</v>
      </c>
      <c r="J3" t="s">
        <v>14</v>
      </c>
      <c r="K3" t="s">
        <v>15</v>
      </c>
      <c r="L3" t="s">
        <v>7</v>
      </c>
      <c r="O3" t="s">
        <v>9</v>
      </c>
      <c r="P3" t="s">
        <v>12</v>
      </c>
      <c r="Q3" t="s">
        <v>10</v>
      </c>
      <c r="R3" t="s">
        <v>11</v>
      </c>
      <c r="S3" t="s">
        <v>19</v>
      </c>
      <c r="U3" t="s">
        <v>16</v>
      </c>
      <c r="V3" t="s">
        <v>18</v>
      </c>
    </row>
    <row r="4" spans="2:22" x14ac:dyDescent="0.35">
      <c r="B4">
        <v>1</v>
      </c>
      <c r="C4">
        <v>282</v>
      </c>
      <c r="D4">
        <v>156</v>
      </c>
      <c r="E4">
        <v>14.89</v>
      </c>
      <c r="F4">
        <v>15.89</v>
      </c>
      <c r="G4" s="2">
        <v>45867.731944444444</v>
      </c>
      <c r="H4" s="2">
        <v>45868.256249999999</v>
      </c>
      <c r="I4">
        <v>11.75</v>
      </c>
      <c r="J4">
        <v>10.65</v>
      </c>
      <c r="K4">
        <v>2.5</v>
      </c>
      <c r="L4" t="s">
        <v>8</v>
      </c>
      <c r="O4" s="3">
        <f t="shared" ref="O4:O11" si="0">H4-G4</f>
        <v>0.52430555555474712</v>
      </c>
      <c r="P4" s="4">
        <f t="shared" ref="P4:P11" si="1">O4</f>
        <v>0.52430555555474712</v>
      </c>
      <c r="Q4" s="5">
        <f t="shared" ref="Q4:Q11" si="2">I4-J4</f>
        <v>1.0999999999999996</v>
      </c>
      <c r="R4" s="1">
        <f t="shared" ref="R4:R11" si="3">(F4-E4)/0.9982</f>
        <v>1.0018032458425166</v>
      </c>
      <c r="S4" s="5">
        <f t="shared" ref="S4:S18" si="4">K4*P4</f>
        <v>1.3107638888868678</v>
      </c>
      <c r="T4" s="5"/>
      <c r="U4" s="1">
        <f>Q4*1440/755</f>
        <v>2.0980132450331119</v>
      </c>
      <c r="V4" s="7">
        <f>(1-ABS(U4-K4)/K4)*100%</f>
        <v>0.83920529801324473</v>
      </c>
    </row>
    <row r="5" spans="2:22" x14ac:dyDescent="0.35">
      <c r="B5">
        <v>2</v>
      </c>
      <c r="C5">
        <v>290</v>
      </c>
      <c r="D5">
        <v>163</v>
      </c>
      <c r="E5">
        <v>4.38</v>
      </c>
      <c r="F5">
        <v>4.68</v>
      </c>
      <c r="G5" s="2">
        <v>45868.517361111109</v>
      </c>
      <c r="H5" s="2">
        <v>45868.688888888886</v>
      </c>
      <c r="I5">
        <v>10.65</v>
      </c>
      <c r="J5">
        <v>10.25</v>
      </c>
      <c r="K5">
        <v>2.5</v>
      </c>
      <c r="O5" s="3">
        <f t="shared" si="0"/>
        <v>0.17152777777664596</v>
      </c>
      <c r="P5" s="4">
        <f t="shared" si="1"/>
        <v>0.17152777777664596</v>
      </c>
      <c r="Q5" s="5">
        <f t="shared" si="2"/>
        <v>0.40000000000000036</v>
      </c>
      <c r="R5" s="1">
        <f t="shared" si="3"/>
        <v>0.30054097375275479</v>
      </c>
      <c r="S5" s="5">
        <f t="shared" si="4"/>
        <v>0.42881944444161491</v>
      </c>
      <c r="U5" s="1">
        <f>Q5*1440/247</f>
        <v>2.3319838056680182</v>
      </c>
      <c r="V5" s="7">
        <f t="shared" ref="V5:V11" si="5">(1-ABS(U5-K5)/K5)*100%</f>
        <v>0.93279352226720724</v>
      </c>
    </row>
    <row r="6" spans="2:22" x14ac:dyDescent="0.35">
      <c r="B6">
        <v>3</v>
      </c>
      <c r="C6">
        <v>290</v>
      </c>
      <c r="D6">
        <v>163</v>
      </c>
      <c r="E6">
        <v>4.68</v>
      </c>
      <c r="F6">
        <v>6.13</v>
      </c>
      <c r="G6" s="2">
        <v>45868.693055555559</v>
      </c>
      <c r="H6" s="2">
        <v>45869.431250000001</v>
      </c>
      <c r="I6">
        <v>10.25</v>
      </c>
      <c r="J6">
        <v>8.6</v>
      </c>
      <c r="K6">
        <v>2.5</v>
      </c>
      <c r="O6" s="3">
        <f t="shared" si="0"/>
        <v>0.7381944444423425</v>
      </c>
      <c r="P6" s="4">
        <f t="shared" si="1"/>
        <v>0.7381944444423425</v>
      </c>
      <c r="Q6" s="5">
        <f t="shared" si="2"/>
        <v>1.6500000000000004</v>
      </c>
      <c r="R6" s="1">
        <f t="shared" si="3"/>
        <v>1.4526147064716493</v>
      </c>
      <c r="S6" s="5">
        <f t="shared" si="4"/>
        <v>1.8454861111058563</v>
      </c>
      <c r="U6" s="1">
        <f>Q6*1440/1052</f>
        <v>2.2585551330798483</v>
      </c>
      <c r="V6" s="7">
        <f t="shared" si="5"/>
        <v>0.90342205323193936</v>
      </c>
    </row>
    <row r="7" spans="2:22" x14ac:dyDescent="0.35">
      <c r="B7">
        <v>4</v>
      </c>
      <c r="C7">
        <v>290</v>
      </c>
      <c r="D7">
        <v>163</v>
      </c>
      <c r="E7">
        <v>0</v>
      </c>
      <c r="F7">
        <v>0</v>
      </c>
      <c r="G7" s="6">
        <v>45869.445138888892</v>
      </c>
      <c r="H7" s="6">
        <v>45869.492361111108</v>
      </c>
      <c r="I7">
        <v>8.6</v>
      </c>
      <c r="J7">
        <v>7.6</v>
      </c>
      <c r="K7">
        <v>25</v>
      </c>
      <c r="O7" s="3">
        <f t="shared" si="0"/>
        <v>4.722222221607808E-2</v>
      </c>
      <c r="P7" s="4">
        <f t="shared" si="1"/>
        <v>4.722222221607808E-2</v>
      </c>
      <c r="Q7" s="5">
        <f t="shared" si="2"/>
        <v>1</v>
      </c>
      <c r="R7" s="1">
        <f t="shared" si="3"/>
        <v>0</v>
      </c>
      <c r="S7" s="5">
        <f t="shared" si="4"/>
        <v>1.180555555401952</v>
      </c>
      <c r="U7" s="1">
        <f>Q7*1440/68</f>
        <v>21.176470588235293</v>
      </c>
      <c r="V7" s="7">
        <f t="shared" si="5"/>
        <v>0.84705882352941175</v>
      </c>
    </row>
    <row r="8" spans="2:22" x14ac:dyDescent="0.35">
      <c r="B8">
        <v>5</v>
      </c>
      <c r="C8">
        <v>290</v>
      </c>
      <c r="D8">
        <v>163</v>
      </c>
      <c r="E8">
        <v>0</v>
      </c>
      <c r="F8">
        <v>0</v>
      </c>
      <c r="G8" s="6">
        <v>45869.502083333333</v>
      </c>
      <c r="H8" s="6">
        <v>45869.544444444444</v>
      </c>
      <c r="I8">
        <v>7.5</v>
      </c>
      <c r="J8">
        <v>6.55</v>
      </c>
      <c r="K8">
        <v>25</v>
      </c>
      <c r="L8" t="s">
        <v>17</v>
      </c>
      <c r="O8" s="3">
        <f t="shared" si="0"/>
        <v>4.2361111110949423E-2</v>
      </c>
      <c r="P8" s="4">
        <f t="shared" si="1"/>
        <v>4.2361111110949423E-2</v>
      </c>
      <c r="Q8" s="5">
        <f t="shared" si="2"/>
        <v>0.95000000000000018</v>
      </c>
      <c r="R8" s="1">
        <f t="shared" si="3"/>
        <v>0</v>
      </c>
      <c r="S8" s="5">
        <f t="shared" si="4"/>
        <v>1.0590277777737356</v>
      </c>
      <c r="U8" s="1">
        <f>Q8*1440/61</f>
        <v>22.426229508196727</v>
      </c>
      <c r="V8" s="7">
        <f t="shared" si="5"/>
        <v>0.89704918032786907</v>
      </c>
    </row>
    <row r="9" spans="2:22" x14ac:dyDescent="0.35">
      <c r="B9">
        <v>6</v>
      </c>
      <c r="C9">
        <v>290</v>
      </c>
      <c r="D9">
        <v>163</v>
      </c>
      <c r="E9">
        <v>0</v>
      </c>
      <c r="F9">
        <v>0</v>
      </c>
      <c r="G9" s="6">
        <v>45869.55</v>
      </c>
      <c r="H9" s="6">
        <v>45869.642361111109</v>
      </c>
      <c r="I9">
        <v>6.55</v>
      </c>
      <c r="J9">
        <v>4</v>
      </c>
      <c r="K9">
        <v>25</v>
      </c>
      <c r="O9" s="3">
        <f t="shared" si="0"/>
        <v>9.2361111106583849E-2</v>
      </c>
      <c r="P9" s="4">
        <f t="shared" si="1"/>
        <v>9.2361111106583849E-2</v>
      </c>
      <c r="Q9" s="5">
        <f t="shared" si="2"/>
        <v>2.5499999999999998</v>
      </c>
      <c r="R9" s="1">
        <f t="shared" si="3"/>
        <v>0</v>
      </c>
      <c r="S9" s="5">
        <f t="shared" si="4"/>
        <v>2.3090277776645962</v>
      </c>
      <c r="U9" s="1">
        <f>Q9*1440/133</f>
        <v>27.609022556390975</v>
      </c>
      <c r="V9" s="7">
        <f t="shared" si="5"/>
        <v>0.89563909774436101</v>
      </c>
    </row>
    <row r="10" spans="2:22" x14ac:dyDescent="0.35">
      <c r="B10">
        <v>7</v>
      </c>
      <c r="C10">
        <v>290</v>
      </c>
      <c r="D10">
        <v>163</v>
      </c>
      <c r="E10">
        <v>0</v>
      </c>
      <c r="F10">
        <v>0</v>
      </c>
      <c r="G10" s="6">
        <v>45869.643055555556</v>
      </c>
      <c r="H10" s="6">
        <v>45869.714583333334</v>
      </c>
      <c r="I10">
        <v>4</v>
      </c>
      <c r="J10">
        <v>2</v>
      </c>
      <c r="K10">
        <v>25</v>
      </c>
      <c r="O10" s="3">
        <f t="shared" si="0"/>
        <v>7.1527777778101154E-2</v>
      </c>
      <c r="P10" s="4">
        <f t="shared" si="1"/>
        <v>7.1527777778101154E-2</v>
      </c>
      <c r="Q10" s="5">
        <f t="shared" si="2"/>
        <v>2</v>
      </c>
      <c r="R10" s="1">
        <f t="shared" si="3"/>
        <v>0</v>
      </c>
      <c r="S10" s="5">
        <f t="shared" si="4"/>
        <v>1.7881944444525288</v>
      </c>
      <c r="U10" s="1">
        <f>Q10*1440/103</f>
        <v>27.961165048543688</v>
      </c>
      <c r="V10" s="7">
        <f t="shared" si="5"/>
        <v>0.8815533980582525</v>
      </c>
    </row>
    <row r="11" spans="2:22" x14ac:dyDescent="0.35">
      <c r="B11">
        <v>8</v>
      </c>
      <c r="C11">
        <v>290</v>
      </c>
      <c r="D11">
        <v>163</v>
      </c>
      <c r="E11">
        <v>0</v>
      </c>
      <c r="F11">
        <v>0</v>
      </c>
      <c r="G11" s="6">
        <v>45869.759027777778</v>
      </c>
      <c r="H11" s="6">
        <v>45870.458333333336</v>
      </c>
      <c r="I11">
        <v>11.35</v>
      </c>
      <c r="J11">
        <v>9.6</v>
      </c>
      <c r="K11">
        <v>2.5</v>
      </c>
      <c r="O11" s="3">
        <f t="shared" si="0"/>
        <v>0.6993055555576575</v>
      </c>
      <c r="P11" s="4">
        <f t="shared" si="1"/>
        <v>0.6993055555576575</v>
      </c>
      <c r="Q11" s="5">
        <f t="shared" si="2"/>
        <v>1.75</v>
      </c>
      <c r="R11" s="1">
        <f t="shared" si="3"/>
        <v>0</v>
      </c>
      <c r="S11" s="5">
        <f t="shared" si="4"/>
        <v>1.7482638888941437</v>
      </c>
      <c r="U11" s="1">
        <f>Q11*1440/1007</f>
        <v>2.5024826216484608</v>
      </c>
      <c r="V11" s="7">
        <f t="shared" si="5"/>
        <v>0.99900695134061568</v>
      </c>
    </row>
    <row r="12" spans="2:22" x14ac:dyDescent="0.35">
      <c r="B12">
        <v>9</v>
      </c>
      <c r="C12">
        <v>290</v>
      </c>
      <c r="D12">
        <v>163</v>
      </c>
      <c r="E12">
        <v>0</v>
      </c>
      <c r="F12">
        <v>0</v>
      </c>
      <c r="G12" s="6">
        <v>45870.459027777775</v>
      </c>
      <c r="H12" s="6">
        <v>45870.556944444441</v>
      </c>
      <c r="I12">
        <v>9.6</v>
      </c>
      <c r="J12">
        <v>7.15</v>
      </c>
      <c r="K12">
        <v>25</v>
      </c>
      <c r="O12" s="3">
        <f t="shared" ref="O12" si="6">H12-G12</f>
        <v>9.7916666665696539E-2</v>
      </c>
      <c r="P12" s="4">
        <f t="shared" ref="P12" si="7">O12</f>
        <v>9.7916666665696539E-2</v>
      </c>
      <c r="Q12" s="5">
        <f t="shared" ref="Q12" si="8">I12-J12</f>
        <v>2.4499999999999993</v>
      </c>
      <c r="R12" s="1">
        <f t="shared" ref="R12" si="9">(F12-E12)/0.9982</f>
        <v>0</v>
      </c>
      <c r="S12" s="5">
        <f t="shared" si="4"/>
        <v>2.4479166666424135</v>
      </c>
      <c r="U12" s="1">
        <f>Q12*1440/141</f>
        <v>25.021276595744673</v>
      </c>
      <c r="V12" s="7">
        <f t="shared" ref="V12" si="10">(1-ABS(U12-K12)/K12)*100%</f>
        <v>0.99914893617021305</v>
      </c>
    </row>
    <row r="13" spans="2:22" x14ac:dyDescent="0.35">
      <c r="B13">
        <v>10</v>
      </c>
      <c r="C13">
        <v>290</v>
      </c>
      <c r="D13">
        <v>163</v>
      </c>
      <c r="E13">
        <v>0</v>
      </c>
      <c r="F13">
        <v>0</v>
      </c>
      <c r="G13" s="6">
        <v>45870.459027777775</v>
      </c>
      <c r="H13" s="6">
        <v>45870.604166666664</v>
      </c>
      <c r="I13">
        <v>9.6</v>
      </c>
      <c r="J13">
        <v>6</v>
      </c>
      <c r="K13">
        <v>25</v>
      </c>
      <c r="O13" s="3">
        <f t="shared" ref="O13" si="11">H13-G13</f>
        <v>0.14513888888905058</v>
      </c>
      <c r="P13" s="4">
        <f t="shared" ref="P13" si="12">O13</f>
        <v>0.14513888888905058</v>
      </c>
      <c r="Q13" s="5">
        <f t="shared" ref="Q13" si="13">I13-J13</f>
        <v>3.5999999999999996</v>
      </c>
      <c r="R13" s="1">
        <f t="shared" ref="R13" si="14">(F13-E13)/0.9982</f>
        <v>0</v>
      </c>
      <c r="S13" s="5">
        <f t="shared" si="4"/>
        <v>3.6284722222262644</v>
      </c>
      <c r="U13" s="1">
        <f>Q13*1440/209</f>
        <v>24.803827751196167</v>
      </c>
      <c r="V13" s="7">
        <f t="shared" ref="V13" si="15">(1-ABS(U13-K13)/K13)*100%</f>
        <v>0.99215311004784668</v>
      </c>
    </row>
    <row r="14" spans="2:22" x14ac:dyDescent="0.35">
      <c r="B14">
        <v>11</v>
      </c>
      <c r="C14">
        <v>290</v>
      </c>
      <c r="D14">
        <v>163</v>
      </c>
      <c r="E14">
        <v>0</v>
      </c>
      <c r="F14">
        <v>0</v>
      </c>
      <c r="G14" s="6">
        <v>45870.60833333333</v>
      </c>
      <c r="H14" s="6">
        <v>45870.703472222223</v>
      </c>
      <c r="I14">
        <v>6</v>
      </c>
      <c r="J14">
        <v>5.48</v>
      </c>
      <c r="K14">
        <v>5</v>
      </c>
      <c r="O14" s="3">
        <f t="shared" ref="O14" si="16">H14-G14</f>
        <v>9.5138888893416151E-2</v>
      </c>
      <c r="P14" s="4">
        <f t="shared" ref="P14" si="17">O14</f>
        <v>9.5138888893416151E-2</v>
      </c>
      <c r="Q14" s="5">
        <f t="shared" ref="Q14" si="18">I14-J14</f>
        <v>0.51999999999999957</v>
      </c>
      <c r="R14" s="1">
        <f t="shared" ref="R14" si="19">(F14-E14)/0.9982</f>
        <v>0</v>
      </c>
      <c r="S14" s="5">
        <f t="shared" si="4"/>
        <v>0.47569444446708076</v>
      </c>
      <c r="U14" s="1">
        <f>Q14*1440/137</f>
        <v>5.4656934306569296</v>
      </c>
      <c r="V14" s="7">
        <f t="shared" ref="V14" si="20">(1-ABS(U14-K14)/K14)*100%</f>
        <v>0.90686131386861413</v>
      </c>
    </row>
    <row r="15" spans="2:22" x14ac:dyDescent="0.35">
      <c r="B15">
        <v>12</v>
      </c>
      <c r="C15">
        <v>286</v>
      </c>
      <c r="D15">
        <v>159</v>
      </c>
      <c r="E15">
        <v>0</v>
      </c>
      <c r="F15">
        <v>0</v>
      </c>
      <c r="G15" s="6">
        <v>45876.647916666669</v>
      </c>
      <c r="H15" s="6">
        <v>45877.597222222219</v>
      </c>
      <c r="I15">
        <v>11.95</v>
      </c>
      <c r="J15">
        <v>9.5500000000000007</v>
      </c>
      <c r="K15">
        <v>2.5</v>
      </c>
      <c r="O15" s="3">
        <f t="shared" ref="O15" si="21">H15-G15</f>
        <v>0.94930555555038154</v>
      </c>
      <c r="P15" s="4">
        <f t="shared" ref="P15" si="22">O15</f>
        <v>0.94930555555038154</v>
      </c>
      <c r="Q15" s="5">
        <f t="shared" ref="Q15" si="23">I15-J15</f>
        <v>2.3999999999999986</v>
      </c>
      <c r="R15" s="1">
        <f t="shared" ref="R15" si="24">(F15-E15)/0.9982</f>
        <v>0</v>
      </c>
      <c r="S15" s="5">
        <f t="shared" si="4"/>
        <v>2.3732638888759539</v>
      </c>
      <c r="U15" s="1">
        <f>Q15*1440/1367</f>
        <v>2.5281638624725664</v>
      </c>
      <c r="V15" s="7">
        <f t="shared" ref="V15" si="25">(1-ABS(U15-K15)/K15)*100%</f>
        <v>0.98873445501097346</v>
      </c>
    </row>
    <row r="16" spans="2:22" x14ac:dyDescent="0.35">
      <c r="B16">
        <v>13</v>
      </c>
      <c r="C16">
        <v>286</v>
      </c>
      <c r="D16">
        <v>159</v>
      </c>
      <c r="E16">
        <v>0</v>
      </c>
      <c r="F16">
        <v>0</v>
      </c>
      <c r="G16" s="6">
        <v>45876.647916666669</v>
      </c>
      <c r="H16" s="6">
        <v>45880.591666666667</v>
      </c>
      <c r="I16">
        <v>11.95</v>
      </c>
      <c r="J16">
        <v>1.5</v>
      </c>
      <c r="K16">
        <v>2.5</v>
      </c>
      <c r="O16" s="3">
        <f t="shared" ref="O16" si="26">H16-G16</f>
        <v>3.9437499999985448</v>
      </c>
      <c r="P16" s="4">
        <f t="shared" ref="P16" si="27">O16</f>
        <v>3.9437499999985448</v>
      </c>
      <c r="Q16" s="5">
        <f t="shared" ref="Q16" si="28">I16-J16</f>
        <v>10.45</v>
      </c>
      <c r="R16" s="1">
        <f t="shared" ref="R16" si="29">(F16-E16)/0.9982</f>
        <v>0</v>
      </c>
      <c r="S16" s="5">
        <f t="shared" si="4"/>
        <v>9.859374999996362</v>
      </c>
      <c r="U16" s="1">
        <f>Q16*1440/5679</f>
        <v>2.6497622820919173</v>
      </c>
      <c r="V16" s="7">
        <f t="shared" ref="V16" si="30">(1-ABS(U16-K16)/K16)*100%</f>
        <v>0.94009508716323309</v>
      </c>
    </row>
    <row r="17" spans="2:23" x14ac:dyDescent="0.35">
      <c r="B17">
        <v>14</v>
      </c>
      <c r="C17">
        <v>286</v>
      </c>
      <c r="D17">
        <v>159</v>
      </c>
      <c r="E17">
        <v>0</v>
      </c>
      <c r="F17">
        <v>0</v>
      </c>
      <c r="G17" s="6">
        <v>45877.597222222219</v>
      </c>
      <c r="H17" s="6">
        <v>45880.591666666667</v>
      </c>
      <c r="I17">
        <v>9.5500000000000007</v>
      </c>
      <c r="J17">
        <v>1.5</v>
      </c>
      <c r="K17">
        <v>2.5</v>
      </c>
      <c r="O17" s="3">
        <f t="shared" ref="O17" si="31">H17-G17</f>
        <v>2.9944444444481633</v>
      </c>
      <c r="P17" s="4">
        <f t="shared" ref="P17" si="32">O17</f>
        <v>2.9944444444481633</v>
      </c>
      <c r="Q17" s="5">
        <f t="shared" ref="Q17" si="33">I17-J17</f>
        <v>8.0500000000000007</v>
      </c>
      <c r="R17" s="1">
        <f t="shared" ref="R17" si="34">(F17-E17)/0.9982</f>
        <v>0</v>
      </c>
      <c r="S17" s="5">
        <f t="shared" si="4"/>
        <v>7.4861111111204082</v>
      </c>
      <c r="U17" s="1">
        <f>Q17*1440/4312</f>
        <v>2.6883116883116887</v>
      </c>
      <c r="V17" s="7">
        <f t="shared" ref="V17" si="35">(1-ABS(U17-K17)/K17)*100%</f>
        <v>0.92467532467532454</v>
      </c>
    </row>
    <row r="18" spans="2:23" x14ac:dyDescent="0.35">
      <c r="B18">
        <v>15</v>
      </c>
      <c r="C18">
        <v>286</v>
      </c>
      <c r="D18">
        <v>159</v>
      </c>
      <c r="E18">
        <v>0</v>
      </c>
      <c r="F18">
        <v>0</v>
      </c>
      <c r="G18" s="6">
        <v>45880.736805555556</v>
      </c>
      <c r="H18" s="6">
        <v>45881.38958333333</v>
      </c>
      <c r="I18">
        <v>11.65</v>
      </c>
      <c r="J18">
        <v>10.1</v>
      </c>
      <c r="K18">
        <v>2.5</v>
      </c>
      <c r="O18" s="3">
        <f t="shared" ref="O18" si="36">H18-G18</f>
        <v>0.65277777777373558</v>
      </c>
      <c r="P18" s="4">
        <f t="shared" ref="P18" si="37">O18</f>
        <v>0.65277777777373558</v>
      </c>
      <c r="Q18" s="5">
        <f t="shared" ref="Q18" si="38">I18-J18</f>
        <v>1.5500000000000007</v>
      </c>
      <c r="R18" s="1">
        <f t="shared" ref="R18" si="39">(F18-E18)/0.9982</f>
        <v>0</v>
      </c>
      <c r="S18" s="5">
        <f t="shared" si="4"/>
        <v>1.6319444444343389</v>
      </c>
      <c r="U18" s="1">
        <f>Q18*1440/940</f>
        <v>2.374468085106384</v>
      </c>
      <c r="V18" s="7">
        <f t="shared" ref="V18" si="40">(1-ABS(U18-K18)/K18)*100%</f>
        <v>0.94978723404255361</v>
      </c>
    </row>
    <row r="19" spans="2:23" x14ac:dyDescent="0.35">
      <c r="B19">
        <v>16</v>
      </c>
      <c r="C19">
        <v>286</v>
      </c>
      <c r="D19">
        <v>159</v>
      </c>
      <c r="E19">
        <v>0</v>
      </c>
      <c r="F19">
        <v>0</v>
      </c>
      <c r="G19" s="6">
        <v>45880.736805555556</v>
      </c>
      <c r="H19" s="6">
        <v>45882.484027777777</v>
      </c>
      <c r="I19">
        <v>11.65</v>
      </c>
      <c r="J19">
        <v>7.5</v>
      </c>
      <c r="K19">
        <v>2.5</v>
      </c>
      <c r="O19" s="3">
        <f t="shared" ref="O19" si="41">H19-G19</f>
        <v>1.7472222222204437</v>
      </c>
      <c r="P19" s="4">
        <f t="shared" ref="P19" si="42">O19</f>
        <v>1.7472222222204437</v>
      </c>
      <c r="Q19" s="5">
        <f t="shared" ref="Q19" si="43">I19-J19</f>
        <v>4.1500000000000004</v>
      </c>
      <c r="R19" s="1">
        <f t="shared" ref="R19" si="44">(F19-E19)/0.9982</f>
        <v>0</v>
      </c>
      <c r="S19" s="5">
        <f>K19*P19</f>
        <v>4.3680555555511091</v>
      </c>
      <c r="U19" s="1">
        <f>Q19*1440/2516</f>
        <v>2.375198728139905</v>
      </c>
      <c r="V19" s="7">
        <f t="shared" ref="V19" si="45">(1-ABS(U19-K19)/K19)*100%</f>
        <v>0.95007949125596203</v>
      </c>
    </row>
    <row r="20" spans="2:23" x14ac:dyDescent="0.35">
      <c r="B20">
        <v>17</v>
      </c>
      <c r="C20">
        <v>286</v>
      </c>
      <c r="D20">
        <v>159</v>
      </c>
      <c r="E20">
        <v>0</v>
      </c>
      <c r="F20">
        <v>0</v>
      </c>
      <c r="G20" s="6">
        <v>45882.546527777777</v>
      </c>
      <c r="H20" s="6">
        <v>45883.46597222222</v>
      </c>
      <c r="I20">
        <v>7.45</v>
      </c>
      <c r="J20">
        <v>5.2</v>
      </c>
      <c r="K20">
        <v>2.5</v>
      </c>
      <c r="O20" s="3">
        <f t="shared" ref="O20" si="46">H20-G20</f>
        <v>0.91944444444379769</v>
      </c>
      <c r="P20" s="4">
        <f t="shared" ref="P20" si="47">O20</f>
        <v>0.91944444444379769</v>
      </c>
      <c r="Q20" s="5">
        <f t="shared" ref="Q20" si="48">I20-J20</f>
        <v>2.25</v>
      </c>
      <c r="R20" s="1">
        <f t="shared" ref="R20" si="49">(F20-E20)/0.9982</f>
        <v>0</v>
      </c>
      <c r="S20" s="5">
        <f>K20*P20</f>
        <v>2.2986111111094942</v>
      </c>
      <c r="U20" s="1">
        <f>Q20*1440/1324</f>
        <v>2.4471299093655587</v>
      </c>
      <c r="V20" s="7">
        <f t="shared" ref="V20" si="50">(1-ABS(U20-K20)/K20)*100%</f>
        <v>0.97885196374622352</v>
      </c>
    </row>
    <row r="21" spans="2:23" x14ac:dyDescent="0.35">
      <c r="B21">
        <v>18</v>
      </c>
      <c r="C21">
        <v>286</v>
      </c>
      <c r="D21">
        <v>159</v>
      </c>
      <c r="E21">
        <v>0</v>
      </c>
      <c r="F21">
        <v>0</v>
      </c>
      <c r="G21" s="6">
        <v>45883.520833333336</v>
      </c>
      <c r="H21" s="6">
        <v>45883.713194444441</v>
      </c>
      <c r="I21">
        <v>5</v>
      </c>
      <c r="J21">
        <v>4.55</v>
      </c>
      <c r="K21">
        <v>2.5</v>
      </c>
      <c r="L21" t="s">
        <v>20</v>
      </c>
      <c r="O21" s="3">
        <f t="shared" ref="O21" si="51">H21-G21</f>
        <v>0.19236111110512866</v>
      </c>
      <c r="P21" s="4">
        <f t="shared" ref="P21" si="52">O21</f>
        <v>0.19236111110512866</v>
      </c>
      <c r="Q21" s="5">
        <f t="shared" ref="Q21" si="53">I21-J21</f>
        <v>0.45000000000000018</v>
      </c>
      <c r="R21" s="1">
        <f t="shared" ref="R21" si="54">(F21-E21)/0.9982</f>
        <v>0</v>
      </c>
      <c r="S21" s="5">
        <f>K21*P21</f>
        <v>0.48090277776282164</v>
      </c>
      <c r="U21" s="1">
        <f>Q21*1440/277</f>
        <v>2.339350180505416</v>
      </c>
      <c r="V21" s="7">
        <f t="shared" ref="V21" si="55">(1-ABS(U21-K21)/K21)*100%</f>
        <v>0.93574007220216637</v>
      </c>
    </row>
    <row r="27" spans="2:23" x14ac:dyDescent="0.35">
      <c r="L27">
        <v>65.77</v>
      </c>
      <c r="P27">
        <v>80.89</v>
      </c>
      <c r="T27">
        <v>74</v>
      </c>
    </row>
    <row r="28" spans="2:23" x14ac:dyDescent="0.35">
      <c r="H28" s="8">
        <v>65.773633770000004</v>
      </c>
      <c r="I28">
        <v>2.2999999999999998</v>
      </c>
      <c r="J28">
        <f>H28/I28</f>
        <v>28.597232073913048</v>
      </c>
      <c r="L28">
        <v>247</v>
      </c>
      <c r="M28">
        <v>0.4</v>
      </c>
      <c r="N28">
        <v>0.43</v>
      </c>
      <c r="O28">
        <f>M28-N28</f>
        <v>-2.9999999999999971E-2</v>
      </c>
      <c r="P28">
        <v>1367</v>
      </c>
      <c r="Q28">
        <v>2.4</v>
      </c>
      <c r="R28">
        <v>2.37</v>
      </c>
      <c r="S28">
        <f>Q28-R28</f>
        <v>2.9999999999999805E-2</v>
      </c>
      <c r="T28">
        <v>940</v>
      </c>
      <c r="U28">
        <v>1.55</v>
      </c>
      <c r="V28">
        <v>1.63</v>
      </c>
      <c r="W28">
        <f>U28-V28</f>
        <v>-7.9999999999999849E-2</v>
      </c>
    </row>
    <row r="29" spans="2:23" x14ac:dyDescent="0.35">
      <c r="H29" s="8">
        <v>80.890960000000007</v>
      </c>
      <c r="I29">
        <v>2.69</v>
      </c>
      <c r="J29">
        <f>H29/I29</f>
        <v>30.070988847583646</v>
      </c>
      <c r="L29">
        <v>1007</v>
      </c>
      <c r="M29">
        <v>1.75</v>
      </c>
      <c r="N29">
        <v>1.75</v>
      </c>
      <c r="O29">
        <f t="shared" ref="O29:O30" si="56">M29-N29</f>
        <v>0</v>
      </c>
      <c r="P29">
        <v>4312</v>
      </c>
      <c r="Q29">
        <v>8.0500000000000007</v>
      </c>
      <c r="R29">
        <v>7.49</v>
      </c>
      <c r="S29">
        <f t="shared" ref="S29:S30" si="57">Q29-R29</f>
        <v>0.5600000000000005</v>
      </c>
      <c r="T29">
        <v>2516</v>
      </c>
      <c r="U29">
        <v>4.1500000000000004</v>
      </c>
      <c r="V29">
        <v>4.37</v>
      </c>
      <c r="W29">
        <f>U29-V29</f>
        <v>-0.21999999999999975</v>
      </c>
    </row>
    <row r="30" spans="2:23" x14ac:dyDescent="0.35">
      <c r="I30">
        <v>2.5</v>
      </c>
      <c r="J30">
        <f>(J28+J29)/2</f>
        <v>29.334110460748349</v>
      </c>
      <c r="L30">
        <v>1063</v>
      </c>
      <c r="M30">
        <v>1.65</v>
      </c>
      <c r="N30">
        <v>1.85</v>
      </c>
      <c r="O30">
        <f t="shared" si="56"/>
        <v>-0.20000000000000018</v>
      </c>
      <c r="P30">
        <v>5679</v>
      </c>
      <c r="Q30">
        <v>10.45</v>
      </c>
      <c r="R30">
        <v>9.86</v>
      </c>
      <c r="S30">
        <f t="shared" si="57"/>
        <v>0.58999999999999986</v>
      </c>
    </row>
    <row r="31" spans="2:23" x14ac:dyDescent="0.35">
      <c r="J31">
        <f>J30*I30</f>
        <v>73.335276151870872</v>
      </c>
    </row>
    <row r="33" spans="12:23" x14ac:dyDescent="0.35">
      <c r="L33">
        <f>247/-0.03</f>
        <v>-8233.3333333333339</v>
      </c>
      <c r="P33">
        <f>P28/S28</f>
        <v>45566.666666666963</v>
      </c>
      <c r="T33">
        <f>T28/W28</f>
        <v>-11750.000000000022</v>
      </c>
    </row>
    <row r="34" spans="12:23" x14ac:dyDescent="0.35">
      <c r="L34">
        <f>1063/-0.2</f>
        <v>-5315</v>
      </c>
      <c r="P34">
        <f t="shared" ref="P34:P35" si="58">P29/S29</f>
        <v>7699.9999999999927</v>
      </c>
      <c r="T34">
        <f>T29/W29</f>
        <v>-11436.363636363649</v>
      </c>
    </row>
    <row r="35" spans="12:23" x14ac:dyDescent="0.35">
      <c r="P35">
        <f t="shared" si="58"/>
        <v>9625.423728813561</v>
      </c>
    </row>
    <row r="37" spans="12:23" x14ac:dyDescent="0.35">
      <c r="L37">
        <f>5679/1063</f>
        <v>5.3424270931326436</v>
      </c>
      <c r="T37">
        <f>P30/T29</f>
        <v>2.257154213036566</v>
      </c>
    </row>
    <row r="38" spans="12:23" x14ac:dyDescent="0.35">
      <c r="L38">
        <f>L30*L37</f>
        <v>5679</v>
      </c>
      <c r="O38">
        <f>O30*L37</f>
        <v>-1.0684854186265296</v>
      </c>
      <c r="T38">
        <f>T29*T37</f>
        <v>5679</v>
      </c>
      <c r="W38">
        <f>W29*T37</f>
        <v>-0.49657392686804397</v>
      </c>
    </row>
    <row r="44" spans="12:23" x14ac:dyDescent="0.35">
      <c r="L44">
        <v>65.77</v>
      </c>
      <c r="N44">
        <v>80.89</v>
      </c>
      <c r="P44">
        <v>74</v>
      </c>
      <c r="R44">
        <v>77.150000000000006</v>
      </c>
    </row>
    <row r="45" spans="12:23" x14ac:dyDescent="0.35">
      <c r="L45">
        <f>O38</f>
        <v>-1.0684854186265296</v>
      </c>
      <c r="N45">
        <f>S30</f>
        <v>0.58999999999999986</v>
      </c>
      <c r="P45">
        <f>W38</f>
        <v>-0.49657392686804397</v>
      </c>
      <c r="R45">
        <v>0</v>
      </c>
    </row>
  </sheetData>
  <conditionalFormatting sqref="V4:V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Ramzan Jamali</dc:creator>
  <cp:lastModifiedBy>Ramzan Jamali</cp:lastModifiedBy>
  <dcterms:created xsi:type="dcterms:W3CDTF">2015-06-05T18:19:34Z</dcterms:created>
  <dcterms:modified xsi:type="dcterms:W3CDTF">2025-08-14T15:13:19Z</dcterms:modified>
</cp:coreProperties>
</file>