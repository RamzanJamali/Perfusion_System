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F0A7F27E-6B6A-461D-9035-625C3553F14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0" i="1" l="1"/>
  <c r="O40" i="1" s="1"/>
  <c r="R40" i="1" s="1"/>
  <c r="P40" i="1"/>
  <c r="T40" i="1" s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40" i="1" l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<sst xmlns="http://schemas.openxmlformats.org/spreadsheetml/2006/main" count="24" uniqueCount="22">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</sst>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1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4" totalsRowShown="0">
  <autoFilter ref="A3:K5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4"/>
  <sheetViews>
    <sheetView tabSelected="1" zoomScaleNormal="100" workbookViewId="0">
      <selection activeCell="A41" sqref="A41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D40">
        <v>0</v>
      </c>
      <c r="E40">
        <v>0</v>
      </c>
      <c r="F40" s="6">
        <v>45903.534722222219</v>
      </c>
      <c r="G40" s="6">
        <v>45904.477777777778</v>
      </c>
      <c r="H40">
        <v>11.7</v>
      </c>
      <c r="I40">
        <v>9.4499999999999993</v>
      </c>
      <c r="J40">
        <v>2.5</v>
      </c>
      <c r="K40" t="s">
        <v>20</v>
      </c>
      <c r="N40" s="3">
        <f t="shared" ref="N40" si="48">G40-F40</f>
        <v>0.94305555555911269</v>
      </c>
      <c r="O40" s="4">
        <f t="shared" ref="O40" si="49">N40</f>
        <v>0.94305555555911269</v>
      </c>
      <c r="P40" s="5">
        <f t="shared" ref="P40" si="50">H40-I40</f>
        <v>2.25</v>
      </c>
      <c r="Q40" s="1">
        <f t="shared" ref="Q40" si="51">ABS((E40-D40)/0.9982)</f>
        <v>0</v>
      </c>
      <c r="R40" s="5">
        <f t="shared" ref="R40" si="52">J40*O40</f>
        <v>2.3576388888977817</v>
      </c>
      <c r="S40">
        <f t="shared" ref="S40" si="53">(1-ABS(Q40-R40)/R40)*100</f>
        <v>0</v>
      </c>
      <c r="T40" s="1">
        <f>P40*1440/1358</f>
        <v>2.385861561119293</v>
      </c>
      <c r="U40" s="7">
        <f t="shared" ref="U40" si="54">(1-ABS(T40-J40)/J40)*100%</f>
        <v>0.95434462444771717</v>
      </c>
    </row>
    <row r="41" spans="1:21" x14ac:dyDescent="0.35">
      <c r="F41" s="6"/>
      <c r="G41" s="6"/>
    </row>
    <row r="42" spans="1:21" x14ac:dyDescent="0.35">
      <c r="F42" s="6"/>
      <c r="G42" s="6"/>
    </row>
    <row r="43" spans="1:21" x14ac:dyDescent="0.35">
      <c r="F43" s="6"/>
      <c r="G43" s="6"/>
    </row>
    <row r="44" spans="1:21" x14ac:dyDescent="0.35">
      <c r="F44" s="6"/>
      <c r="G44" s="6"/>
    </row>
    <row r="45" spans="1:21" x14ac:dyDescent="0.35">
      <c r="F45" s="6"/>
      <c r="G45" s="6"/>
    </row>
    <row r="46" spans="1:21" x14ac:dyDescent="0.35">
      <c r="F46" s="6"/>
      <c r="G46" s="6"/>
    </row>
    <row r="47" spans="1:21" x14ac:dyDescent="0.35">
      <c r="F47" s="6"/>
      <c r="G47" s="6"/>
    </row>
    <row r="48" spans="1:21" x14ac:dyDescent="0.35">
      <c r="F48" s="6"/>
      <c r="G48" s="6"/>
    </row>
    <row r="49" spans="6:7" x14ac:dyDescent="0.35">
      <c r="F49" s="6"/>
      <c r="G49" s="6"/>
    </row>
    <row r="50" spans="6:7" x14ac:dyDescent="0.35">
      <c r="F50" s="6"/>
      <c r="G50" s="6"/>
    </row>
    <row r="51" spans="6:7" x14ac:dyDescent="0.35">
      <c r="F51" s="6"/>
      <c r="G51" s="6"/>
    </row>
    <row r="52" spans="6:7" x14ac:dyDescent="0.35">
      <c r="F52" s="6"/>
      <c r="G52" s="6"/>
    </row>
    <row r="53" spans="6:7" x14ac:dyDescent="0.35">
      <c r="F53" s="6"/>
      <c r="G53" s="6"/>
    </row>
    <row r="54" spans="6:7" x14ac:dyDescent="0.35">
      <c r="F54" s="6"/>
      <c r="G54" s="6"/>
    </row>
  </sheetData>
  <conditionalFormatting sqref="U4:U4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4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2025-09-04T09:55:52Z</dcterms:modified>
</cp:coreProperties>
</file>