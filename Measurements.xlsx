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08751D22-7FC9-4809-B52B-C3BDF1E68AA2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2" i="1" l="1"/>
  <c r="O62" i="1" s="1"/>
  <c r="R62" i="1" s="1"/>
  <c r="P62" i="1"/>
  <c r="Q62" i="1"/>
  <c r="T62" i="1"/>
  <c r="U62" i="1" s="1"/>
  <c r="T60" i="1"/>
  <c r="N60" i="1"/>
  <c r="O60" i="1" s="1"/>
  <c r="R60" i="1" s="1"/>
  <c r="S60" i="1" s="1"/>
  <c r="P60" i="1"/>
  <c r="Q60" i="1"/>
  <c r="N61" i="1"/>
  <c r="O61" i="1" s="1"/>
  <c r="R61" i="1" s="1"/>
  <c r="S61" i="1" s="1"/>
  <c r="P61" i="1"/>
  <c r="T61" i="1" s="1"/>
  <c r="Q61" i="1"/>
  <c r="T59" i="1"/>
  <c r="T58" i="1"/>
  <c r="S62" i="1" l="1"/>
  <c r="U61" i="1"/>
  <c r="U60" i="1"/>
  <c r="N58" i="1"/>
  <c r="O58" i="1" s="1"/>
  <c r="R58" i="1" s="1"/>
  <c r="P58" i="1"/>
  <c r="Q58" i="1"/>
  <c r="N59" i="1"/>
  <c r="O59" i="1" s="1"/>
  <c r="R59" i="1" s="1"/>
  <c r="P59" i="1"/>
  <c r="Q59" i="1"/>
  <c r="T57" i="1"/>
  <c r="N57" i="1"/>
  <c r="O57" i="1" s="1"/>
  <c r="R57" i="1" s="1"/>
  <c r="P57" i="1"/>
  <c r="Q57" i="1"/>
  <c r="N56" i="1"/>
  <c r="O56" i="1" s="1"/>
  <c r="R56" i="1" s="1"/>
  <c r="S56" i="1" s="1"/>
  <c r="P56" i="1"/>
  <c r="T56" i="1" s="1"/>
  <c r="U56" i="1" s="1"/>
  <c r="Q56" i="1"/>
  <c r="T55" i="1"/>
  <c r="N55" i="1"/>
  <c r="O55" i="1" s="1"/>
  <c r="R55" i="1" s="1"/>
  <c r="P55" i="1"/>
  <c r="Q55" i="1"/>
  <c r="T54" i="1"/>
  <c r="N54" i="1"/>
  <c r="O54" i="1" s="1"/>
  <c r="R54" i="1" s="1"/>
  <c r="P54" i="1"/>
  <c r="Q54" i="1"/>
  <c r="T53" i="1"/>
  <c r="U53" i="1" s="1"/>
  <c r="N53" i="1"/>
  <c r="O53" i="1"/>
  <c r="R53" i="1" s="1"/>
  <c r="P53" i="1"/>
  <c r="Q53" i="1"/>
  <c r="N52" i="1"/>
  <c r="O52" i="1" s="1"/>
  <c r="R52" i="1" s="1"/>
  <c r="S52" i="1" s="1"/>
  <c r="P52" i="1"/>
  <c r="T52" i="1" s="1"/>
  <c r="Q52" i="1"/>
  <c r="N11" i="2"/>
  <c r="M11" i="2"/>
  <c r="L11" i="2"/>
  <c r="K11" i="2"/>
  <c r="I11" i="2"/>
  <c r="H11" i="2"/>
  <c r="I10" i="2"/>
  <c r="H10" i="2"/>
  <c r="M7" i="2"/>
  <c r="L7" i="2"/>
  <c r="K7" i="2"/>
  <c r="I7" i="2"/>
  <c r="H7" i="2"/>
  <c r="I6" i="2"/>
  <c r="H6" i="2"/>
  <c r="I5" i="2"/>
  <c r="H5" i="2"/>
  <c r="I4" i="2"/>
  <c r="W5" i="2"/>
  <c r="T51" i="1"/>
  <c r="U51" i="1" s="1"/>
  <c r="N51" i="1"/>
  <c r="O51" i="1" s="1"/>
  <c r="R51" i="1" s="1"/>
  <c r="P51" i="1"/>
  <c r="Q51" i="1"/>
  <c r="T50" i="1"/>
  <c r="N50" i="1"/>
  <c r="O50" i="1" s="1"/>
  <c r="R50" i="1" s="1"/>
  <c r="P50" i="1"/>
  <c r="Q50" i="1"/>
  <c r="T49" i="1"/>
  <c r="N49" i="1"/>
  <c r="O49" i="1" s="1"/>
  <c r="R49" i="1" s="1"/>
  <c r="P49" i="1"/>
  <c r="Q49" i="1"/>
  <c r="T48" i="1"/>
  <c r="N48" i="1"/>
  <c r="O48" i="1" s="1"/>
  <c r="R48" i="1" s="1"/>
  <c r="P48" i="1"/>
  <c r="Q48" i="1"/>
  <c r="T47" i="1"/>
  <c r="N47" i="1"/>
  <c r="O47" i="1" s="1"/>
  <c r="R47" i="1" s="1"/>
  <c r="P47" i="1"/>
  <c r="Q47" i="1"/>
  <c r="N46" i="1"/>
  <c r="O46" i="1" s="1"/>
  <c r="R46" i="1" s="1"/>
  <c r="P46" i="1"/>
  <c r="T46" i="1" s="1"/>
  <c r="Q46" i="1"/>
  <c r="N45" i="1"/>
  <c r="O45" i="1" s="1"/>
  <c r="R45" i="1" s="1"/>
  <c r="P45" i="1"/>
  <c r="T45" i="1" s="1"/>
  <c r="Q45" i="1"/>
  <c r="T44" i="1"/>
  <c r="N44" i="1"/>
  <c r="O44" i="1" s="1"/>
  <c r="R44" i="1" s="1"/>
  <c r="P44" i="1"/>
  <c r="Q44" i="1"/>
  <c r="T43" i="1"/>
  <c r="N43" i="1"/>
  <c r="O43" i="1" s="1"/>
  <c r="R43" i="1" s="1"/>
  <c r="P43" i="1"/>
  <c r="Q43" i="1"/>
  <c r="T42" i="1"/>
  <c r="N42" i="1"/>
  <c r="O42" i="1" s="1"/>
  <c r="R42" i="1" s="1"/>
  <c r="P42" i="1"/>
  <c r="Q42" i="1"/>
  <c r="T40" i="1"/>
  <c r="T41" i="1"/>
  <c r="N41" i="1"/>
  <c r="O41" i="1" s="1"/>
  <c r="R41" i="1" s="1"/>
  <c r="P41" i="1"/>
  <c r="Q41" i="1"/>
  <c r="N40" i="1"/>
  <c r="O40" i="1" s="1"/>
  <c r="R40" i="1" s="1"/>
  <c r="P40" i="1"/>
  <c r="Q40" i="1"/>
  <c r="T39" i="1"/>
  <c r="T38" i="1"/>
  <c r="U38" i="1" s="1"/>
  <c r="N38" i="1"/>
  <c r="O38" i="1" s="1"/>
  <c r="R38" i="1" s="1"/>
  <c r="P38" i="1"/>
  <c r="Q38" i="1"/>
  <c r="N39" i="1"/>
  <c r="O39" i="1" s="1"/>
  <c r="R39" i="1" s="1"/>
  <c r="P39" i="1"/>
  <c r="Q39" i="1"/>
  <c r="T37" i="1"/>
  <c r="U37" i="1" s="1"/>
  <c r="T36" i="1"/>
  <c r="U36" i="1" s="1"/>
  <c r="N37" i="1"/>
  <c r="O37" i="1" s="1"/>
  <c r="R37" i="1" s="1"/>
  <c r="P37" i="1"/>
  <c r="Q37" i="1"/>
  <c r="N36" i="1"/>
  <c r="O36" i="1" s="1"/>
  <c r="R36" i="1" s="1"/>
  <c r="P36" i="1"/>
  <c r="Q36" i="1"/>
  <c r="N32" i="1"/>
  <c r="O32" i="1" s="1"/>
  <c r="R32" i="1" s="1"/>
  <c r="P32" i="1"/>
  <c r="Q32" i="1"/>
  <c r="S32" i="1" s="1"/>
  <c r="T32" i="1"/>
  <c r="U32" i="1"/>
  <c r="N33" i="1"/>
  <c r="O33" i="1" s="1"/>
  <c r="R33" i="1" s="1"/>
  <c r="P33" i="1"/>
  <c r="Q33" i="1"/>
  <c r="S33" i="1" s="1"/>
  <c r="T33" i="1"/>
  <c r="U33" i="1"/>
  <c r="T35" i="1"/>
  <c r="N35" i="1"/>
  <c r="O35" i="1" s="1"/>
  <c r="R35" i="1" s="1"/>
  <c r="P35" i="1"/>
  <c r="U35" i="1" s="1"/>
  <c r="Q35" i="1"/>
  <c r="S31" i="1"/>
  <c r="Q34" i="1"/>
  <c r="P34" i="1"/>
  <c r="Q4" i="1"/>
  <c r="Q5" i="1"/>
  <c r="Q6" i="1"/>
  <c r="Q7" i="1"/>
  <c r="Q8" i="1"/>
  <c r="Q9" i="1"/>
  <c r="Q10" i="1"/>
  <c r="Q11" i="1"/>
  <c r="Q12" i="1"/>
  <c r="Q13" i="1"/>
  <c r="S13" i="1" s="1"/>
  <c r="Q14" i="1"/>
  <c r="Q15" i="1"/>
  <c r="Q16" i="1"/>
  <c r="Q17" i="1"/>
  <c r="S17" i="1" s="1"/>
  <c r="Q18" i="1"/>
  <c r="S18" i="1" s="1"/>
  <c r="Q19" i="1"/>
  <c r="Q20" i="1"/>
  <c r="Q21" i="1"/>
  <c r="Q22" i="1"/>
  <c r="S22" i="1" s="1"/>
  <c r="Q23" i="1"/>
  <c r="Q24" i="1"/>
  <c r="Q25" i="1"/>
  <c r="Q26" i="1"/>
  <c r="S26" i="1" s="1"/>
  <c r="Q27" i="1"/>
  <c r="Q28" i="1"/>
  <c r="Q29" i="1"/>
  <c r="Q31" i="1"/>
  <c r="Q30" i="1"/>
  <c r="T34" i="1"/>
  <c r="N34" i="1"/>
  <c r="O34" i="1" s="1"/>
  <c r="R34" i="1" s="1"/>
  <c r="T31" i="1"/>
  <c r="N30" i="1"/>
  <c r="O30" i="1" s="1"/>
  <c r="R30" i="1" s="1"/>
  <c r="P30" i="1"/>
  <c r="T30" i="1" s="1"/>
  <c r="N31" i="1"/>
  <c r="O31" i="1" s="1"/>
  <c r="R31" i="1" s="1"/>
  <c r="P31" i="1"/>
  <c r="N29" i="1"/>
  <c r="O29" i="1" s="1"/>
  <c r="R29" i="1" s="1"/>
  <c r="P29" i="1"/>
  <c r="T29" i="1" s="1"/>
  <c r="N27" i="1"/>
  <c r="O27" i="1" s="1"/>
  <c r="R27" i="1" s="1"/>
  <c r="S27" i="1" s="1"/>
  <c r="P27" i="1"/>
  <c r="T27" i="1" s="1"/>
  <c r="N28" i="1"/>
  <c r="O28" i="1" s="1"/>
  <c r="R28" i="1" s="1"/>
  <c r="P28" i="1"/>
  <c r="T28" i="1" s="1"/>
  <c r="N26" i="1"/>
  <c r="O26" i="1" s="1"/>
  <c r="R26" i="1" s="1"/>
  <c r="P26" i="1"/>
  <c r="T26" i="1" s="1"/>
  <c r="N25" i="1"/>
  <c r="O25" i="1" s="1"/>
  <c r="R25" i="1" s="1"/>
  <c r="P25" i="1"/>
  <c r="T25" i="1" s="1"/>
  <c r="T24" i="1"/>
  <c r="N23" i="1"/>
  <c r="O23" i="1" s="1"/>
  <c r="R23" i="1" s="1"/>
  <c r="S23" i="1" s="1"/>
  <c r="P23" i="1"/>
  <c r="T23" i="1" s="1"/>
  <c r="N24" i="1"/>
  <c r="O24" i="1" s="1"/>
  <c r="R24" i="1" s="1"/>
  <c r="P24" i="1"/>
  <c r="N22" i="1"/>
  <c r="O22" i="1" s="1"/>
  <c r="R22" i="1" s="1"/>
  <c r="P22" i="1"/>
  <c r="T22" i="1" s="1"/>
  <c r="N21" i="1"/>
  <c r="O21" i="1" s="1"/>
  <c r="R21" i="1" s="1"/>
  <c r="P21" i="1"/>
  <c r="T21" i="1" s="1"/>
  <c r="N20" i="1"/>
  <c r="O20" i="1" s="1"/>
  <c r="R20" i="1" s="1"/>
  <c r="P20" i="1"/>
  <c r="T20" i="1" s="1"/>
  <c r="AL13" i="1"/>
  <c r="AL14" i="1" s="1"/>
  <c r="AD13" i="1"/>
  <c r="AD14" i="1" s="1"/>
  <c r="AD10" i="1"/>
  <c r="AD9" i="1"/>
  <c r="AO5" i="1"/>
  <c r="AL10" i="1" s="1"/>
  <c r="AO4" i="1"/>
  <c r="AL9" i="1" s="1"/>
  <c r="AK5" i="1"/>
  <c r="AH10" i="1" s="1"/>
  <c r="AK6" i="1"/>
  <c r="AF21" i="1" s="1"/>
  <c r="AK4" i="1"/>
  <c r="AH9" i="1" s="1"/>
  <c r="AG5" i="1"/>
  <c r="AG6" i="1"/>
  <c r="AG14" i="1" s="1"/>
  <c r="AD21" i="1" s="1"/>
  <c r="AG4" i="1"/>
  <c r="N19" i="1"/>
  <c r="O19" i="1" s="1"/>
  <c r="R19" i="1" s="1"/>
  <c r="S19" i="1" s="1"/>
  <c r="P19" i="1"/>
  <c r="T19" i="1" s="1"/>
  <c r="N18" i="1"/>
  <c r="O18" i="1" s="1"/>
  <c r="R18" i="1" s="1"/>
  <c r="P18" i="1"/>
  <c r="T18" i="1" s="1"/>
  <c r="AB5" i="1"/>
  <c r="AB4" i="1"/>
  <c r="N17" i="1"/>
  <c r="O17" i="1" s="1"/>
  <c r="R17" i="1" s="1"/>
  <c r="P17" i="1"/>
  <c r="T17" i="1" s="1"/>
  <c r="N16" i="1"/>
  <c r="O16" i="1" s="1"/>
  <c r="R16" i="1" s="1"/>
  <c r="P16" i="1"/>
  <c r="T16" i="1" s="1"/>
  <c r="U16" i="1" s="1"/>
  <c r="N15" i="1"/>
  <c r="O15" i="1" s="1"/>
  <c r="R15" i="1" s="1"/>
  <c r="S15" i="1" s="1"/>
  <c r="P15" i="1"/>
  <c r="T15" i="1" s="1"/>
  <c r="N14" i="1"/>
  <c r="O14" i="1" s="1"/>
  <c r="R14" i="1" s="1"/>
  <c r="P14" i="1"/>
  <c r="T14" i="1" s="1"/>
  <c r="N13" i="1"/>
  <c r="O13" i="1" s="1"/>
  <c r="R13" i="1" s="1"/>
  <c r="P13" i="1"/>
  <c r="T13" i="1" s="1"/>
  <c r="N12" i="1"/>
  <c r="O12" i="1" s="1"/>
  <c r="R12" i="1" s="1"/>
  <c r="P12" i="1"/>
  <c r="T12" i="1" s="1"/>
  <c r="N11" i="1"/>
  <c r="O11" i="1" s="1"/>
  <c r="R11" i="1" s="1"/>
  <c r="S11" i="1" s="1"/>
  <c r="P11" i="1"/>
  <c r="T11" i="1" s="1"/>
  <c r="U11" i="1" s="1"/>
  <c r="N10" i="1"/>
  <c r="O10" i="1" s="1"/>
  <c r="R10" i="1" s="1"/>
  <c r="P10" i="1"/>
  <c r="T10" i="1" s="1"/>
  <c r="U10" i="1" s="1"/>
  <c r="U59" i="1" l="1"/>
  <c r="U58" i="1"/>
  <c r="S59" i="1"/>
  <c r="S58" i="1"/>
  <c r="U57" i="1"/>
  <c r="S57" i="1"/>
  <c r="U55" i="1"/>
  <c r="S55" i="1"/>
  <c r="U54" i="1"/>
  <c r="S54" i="1"/>
  <c r="S53" i="1"/>
  <c r="U52" i="1"/>
  <c r="S51" i="1"/>
  <c r="U50" i="1"/>
  <c r="S50" i="1"/>
  <c r="U49" i="1"/>
  <c r="S49" i="1"/>
  <c r="U48" i="1"/>
  <c r="S48" i="1"/>
  <c r="U47" i="1"/>
  <c r="S47" i="1"/>
  <c r="U46" i="1"/>
  <c r="S46" i="1"/>
  <c r="U45" i="1"/>
  <c r="S45" i="1"/>
  <c r="U44" i="1"/>
  <c r="S44" i="1"/>
  <c r="U43" i="1"/>
  <c r="S43" i="1"/>
  <c r="U42" i="1"/>
  <c r="S42" i="1"/>
  <c r="U41" i="1"/>
  <c r="S41" i="1"/>
  <c r="U40" i="1"/>
  <c r="S40" i="1"/>
  <c r="U39" i="1"/>
  <c r="S39" i="1"/>
  <c r="S38" i="1"/>
  <c r="S37" i="1"/>
  <c r="S36" i="1"/>
  <c r="S35" i="1"/>
  <c r="S14" i="1"/>
  <c r="S10" i="1"/>
  <c r="S34" i="1"/>
  <c r="S29" i="1"/>
  <c r="S28" i="1"/>
  <c r="S24" i="1"/>
  <c r="S20" i="1"/>
  <c r="S16" i="1"/>
  <c r="S12" i="1"/>
  <c r="S30" i="1"/>
  <c r="S25" i="1"/>
  <c r="S21" i="1"/>
  <c r="U31" i="1"/>
  <c r="U34" i="1"/>
  <c r="U30" i="1"/>
  <c r="U29" i="1"/>
  <c r="U28" i="1"/>
  <c r="U27" i="1"/>
  <c r="U26" i="1"/>
  <c r="U25" i="1"/>
  <c r="AH11" i="1"/>
  <c r="U24" i="1"/>
  <c r="U23" i="1"/>
  <c r="AO14" i="1"/>
  <c r="AH21" i="1" s="1"/>
  <c r="AB6" i="1"/>
  <c r="AB7" i="1" s="1"/>
  <c r="U22" i="1"/>
  <c r="U21" i="1"/>
  <c r="U20" i="1"/>
  <c r="U19" i="1"/>
  <c r="U18" i="1"/>
  <c r="U17" i="1"/>
  <c r="U15" i="1"/>
  <c r="U14" i="1"/>
  <c r="U13" i="1"/>
  <c r="U12" i="1"/>
  <c r="N9" i="1"/>
  <c r="O9" i="1" s="1"/>
  <c r="R9" i="1" s="1"/>
  <c r="S9" i="1" s="1"/>
  <c r="P9" i="1"/>
  <c r="T9" i="1" s="1"/>
  <c r="U9" i="1" s="1"/>
  <c r="N8" i="1"/>
  <c r="O8" i="1" s="1"/>
  <c r="R8" i="1" s="1"/>
  <c r="S8" i="1" s="1"/>
  <c r="P8" i="1"/>
  <c r="T8" i="1" s="1"/>
  <c r="U8" i="1" s="1"/>
  <c r="N7" i="1"/>
  <c r="O7" i="1" s="1"/>
  <c r="R7" i="1" s="1"/>
  <c r="S7" i="1" s="1"/>
  <c r="P7" i="1"/>
  <c r="T7" i="1" s="1"/>
  <c r="U7" i="1" s="1"/>
  <c r="N6" i="1"/>
  <c r="O6" i="1" s="1"/>
  <c r="R6" i="1" s="1"/>
  <c r="S6" i="1" s="1"/>
  <c r="P6" i="1"/>
  <c r="T6" i="1" s="1"/>
  <c r="U6" i="1" s="1"/>
  <c r="P5" i="1"/>
  <c r="T5" i="1" s="1"/>
  <c r="U5" i="1" s="1"/>
  <c r="N5" i="1"/>
  <c r="O5" i="1" s="1"/>
  <c r="R5" i="1" s="1"/>
  <c r="S5" i="1" s="1"/>
  <c r="N4" i="1"/>
  <c r="O4" i="1" s="1"/>
  <c r="R4" i="1" s="1"/>
  <c r="S4" i="1" s="1"/>
  <c r="P4" i="1"/>
  <c r="T4" i="1" s="1"/>
  <c r="U4" i="1" s="1"/>
</calcChain>
</file>

<file path=xl/sharedStrings.xml><?xml version="1.0" encoding="utf-8"?>
<sst xmlns="http://schemas.openxmlformats.org/spreadsheetml/2006/main" count="56" uniqueCount="38">
  <si>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</si>
  <si>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</si>
  <si>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</si>
  <si>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</si>
  <si>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</si>
  <si>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</si>
  <si>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</si>
  <si>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</si>
  <si>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</si>
  <si>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</si>
  <si>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</si>
  <si>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</si>
  <si>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</si>
  <si>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</si>
  <si>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</si>
  <si>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</si>
  <si>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</si>
  <si>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</si>
  <si>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</si>
  <si>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</si>
  <si>
    <t>Short Duration, less accuracy</t>
  </si>
  <si>
    <t>Acc by Vol</t>
  </si>
  <si>
    <t>system 2</t>
  </si>
  <si>
    <t>Perfusion No</t>
  </si>
  <si>
    <t>Cornea No</t>
  </si>
  <si>
    <t>Time</t>
  </si>
  <si>
    <t>Pressure</t>
  </si>
  <si>
    <t>Syringe Vol</t>
  </si>
  <si>
    <t>Medium Perfused</t>
  </si>
  <si>
    <t>Cornea Avg Thickness</t>
  </si>
  <si>
    <t>avg</t>
  </si>
  <si>
    <t>readings</t>
  </si>
  <si>
    <t>-</t>
  </si>
  <si>
    <t>Total Duration</t>
  </si>
  <si>
    <t>Change in Thickness</t>
  </si>
  <si>
    <t>Total change in Thickness</t>
  </si>
  <si>
    <t>66.25 Valve not connected</t>
  </si>
  <si>
    <t>68.46 Valve not connected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</si>
</sst>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 style="thin">
        <color rgb="FF5B9BD5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5" fillId="2" borderId="0" applyNumberFormat="0" applyBorder="0" applyAlignment="0" applyProtection="0"/>
    <xf numFmtId="0" fontId="6" fillId="3" borderId="2" applyNumberFormat="0" applyAlignment="0" applyProtection="0"/>
  </cellStyleXfs>
  <cellXfs count="13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  <xf numFmtId="0" fontId="5" fillId="2" borderId="0" xfId="2"/>
    <xf numFmtId="0" fontId="6" fillId="3" borderId="2" xfId="3"/>
    <xf numFmtId="22" fontId="0" fillId="0" borderId="0" xfId="0" applyNumberFormat="1"/>
    <xf numFmtId="46" fontId="0" fillId="0" borderId="0" xfId="0" applyNumberFormat="1"/>
  </cellXfs>
  <cellStyles count="4">
    <cellStyle name="Calculation" xfId="3" builtinId="22"/>
    <cellStyle name="Neutral" xfId="2" builtinId="28"/>
    <cellStyle name="Normal" xfId="0" builtinId="0"/>
    <cellStyle name="Percent" xfId="1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2" formatCode="0.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A3:K63" totalsRowShown="0">
  <autoFilter ref="A3:K63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N3:R34" totalsRowShown="0">
  <autoFilter ref="N3:R34" xr:uid="{AFA1B13B-2067-4436-91E8-CE7B0EC89831}"/>
  <tableColumns count="5">
    <tableColumn id="1" xr3:uid="{97463821-DEE2-4F42-AC00-A7A61AC07CE0}" name="Duration" dataDxfId="5">
      <calculatedColumnFormula>G4-F4</calculatedColumnFormula>
    </tableColumn>
    <tableColumn id="4" xr3:uid="{052C2071-850E-42F5-A26B-889DB58815C3}" name="Duration in Min" dataDxfId="4">
      <calculatedColumnFormula>N4</calculatedColumnFormula>
    </tableColumn>
    <tableColumn id="2" xr3:uid="{D45938C1-DA43-4572-97E8-35C0F3958EB1}" name="Volume by Syringe">
      <calculatedColumnFormula>H4-I4</calculatedColumnFormula>
    </tableColumn>
    <tableColumn id="3" xr3:uid="{CE281EF5-AD90-4E03-8914-DD9A9D900FAD}" name="Volume by Weight" dataDxfId="3">
      <calculatedColumnFormula>ABS((E4-D4)/0.9982)</calculatedColumnFormula>
    </tableColumn>
    <tableColumn id="5" xr3:uid="{9AD10D29-13FB-4A61-B0DA-D4754470DC60}" name="Expected Vol for Perfusion" dataDxfId="2">
      <calculatedColumnFormula>J4*O4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T3:U34" totalsRowShown="0">
  <autoFilter ref="T3:U34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(1-ABS(T4-J4)/J4)*100%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56C89C-45C8-4A18-A684-CD8C973EEA3F}" name="Table4" displayName="Table4" ref="S3:S34" totalsRowShown="0">
  <autoFilter ref="S3:S34" xr:uid="{7B56C89C-45C8-4A18-A684-CD8C973EEA3F}"/>
  <tableColumns count="1">
    <tableColumn id="1" xr3:uid="{16D6476A-937B-463E-931B-1E7B97C33AA9}" name="Acc by Vol">
      <calculatedColumnFormula>(1-ABS(Q4-R4)/R4)*100</calculatedColumnFormula>
    </tableColumn>
  </tableColumns>
  <tableStyleInfo name="TableStyleLight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F60019-1C9C-460C-B40B-DFC95278CF4F}" name="Table8" displayName="Table8" ref="B2:I34" totalsRowShown="0">
  <autoFilter ref="B2:I34" xr:uid="{6AF60019-1C9C-460C-B40B-DFC95278CF4F}"/>
  <tableColumns count="8">
    <tableColumn id="1" xr3:uid="{57274A59-80BD-41BC-A570-03D4DC55F4DA}" name="Perfusion No"/>
    <tableColumn id="2" xr3:uid="{1AC74BFE-39F5-4CB6-A7B1-C57D4BD339C0}" name="Cornea No"/>
    <tableColumn id="3" xr3:uid="{0ED9A430-61F9-45C4-995E-D31D13FD2953}" name="Time"/>
    <tableColumn id="4" xr3:uid="{923E45DE-2363-4AE8-8CCB-3F2F88D158D4}" name="Cornea Avg Thickness"/>
    <tableColumn id="5" xr3:uid="{6E04E918-57C5-4616-A92F-D58E291FABD0}" name="Pressure"/>
    <tableColumn id="6" xr3:uid="{084BA880-EC63-4B7D-853C-73E1D92AA904}" name="Syringe Vol"/>
    <tableColumn id="7" xr3:uid="{751ADFA8-2474-48B3-91F3-F34D73DDF15F}" name="Medium Perfused"/>
    <tableColumn id="8" xr3:uid="{4F622666-8BC8-40B5-B5FC-130C3FCC132D}" name="Duration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62"/>
  <sheetViews>
    <sheetView tabSelected="1" topLeftCell="A11" zoomScaleNormal="100" workbookViewId="0">
      <selection activeCell="L64" sqref="L64"/>
    </sheetView>
  </sheetViews>
  <sheetFormatPr defaultRowHeight="14.5" x14ac:dyDescent="0.35"/>
  <cols>
    <col min="1" max="1" width="8.1796875" customWidth="1"/>
    <col min="2" max="2" width="11.54296875" customWidth="1"/>
    <col min="3" max="3" width="11.08984375" customWidth="1"/>
    <col min="4" max="4" width="15.36328125" customWidth="1"/>
    <col min="5" max="5" width="14.08984375" customWidth="1"/>
    <col min="6" max="6" width="18" customWidth="1"/>
    <col min="7" max="7" width="17.7265625" customWidth="1"/>
    <col min="8" max="8" width="19.26953125" customWidth="1"/>
    <col min="9" max="9" width="18" customWidth="1"/>
    <col min="10" max="10" width="20.26953125" customWidth="1"/>
    <col min="11" max="11" width="20.54296875" customWidth="1"/>
    <col min="12" max="12" width="13.36328125" customWidth="1"/>
    <col min="14" max="14" width="10.453125" customWidth="1"/>
    <col min="15" max="15" width="16.36328125" customWidth="1"/>
    <col min="16" max="16" width="19.08984375" customWidth="1"/>
    <col min="17" max="17" width="18.54296875" customWidth="1"/>
    <col min="18" max="18" width="25" customWidth="1"/>
    <col min="19" max="19" width="13.7265625" customWidth="1"/>
    <col min="20" max="20" width="11.36328125" customWidth="1"/>
    <col min="21" max="21" width="11.54296875" customWidth="1"/>
    <col min="22" max="22" width="10.54296875" customWidth="1"/>
  </cols>
  <sheetData>
    <row r="3" spans="1:41" x14ac:dyDescent="0.35">
      <c r="A3" t="s">
        <v>6</v>
      </c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13</v>
      </c>
      <c r="I3" t="s">
        <v>14</v>
      </c>
      <c r="J3" t="s">
        <v>15</v>
      </c>
      <c r="K3" s="9" t="s">
        <v>7</v>
      </c>
      <c r="N3" t="s">
        <v>9</v>
      </c>
      <c r="O3" t="s">
        <v>12</v>
      </c>
      <c r="P3" t="s">
        <v>10</v>
      </c>
      <c r="Q3" t="s">
        <v>11</v>
      </c>
      <c r="R3" s="10" t="s">
        <v>19</v>
      </c>
      <c r="S3" t="s">
        <v>21</v>
      </c>
      <c r="T3" t="s">
        <v>16</v>
      </c>
      <c r="U3" s="10" t="s">
        <v>18</v>
      </c>
      <c r="AD3">
        <v>65.77</v>
      </c>
      <c r="AH3">
        <v>80.89</v>
      </c>
      <c r="AL3">
        <v>74</v>
      </c>
    </row>
    <row r="4" spans="1:41" x14ac:dyDescent="0.35">
      <c r="A4">
        <v>1</v>
      </c>
      <c r="B4">
        <v>282</v>
      </c>
      <c r="C4">
        <v>156</v>
      </c>
      <c r="D4">
        <v>14.89</v>
      </c>
      <c r="E4">
        <v>15.89</v>
      </c>
      <c r="F4" s="2">
        <v>45867.731944444444</v>
      </c>
      <c r="G4" s="2">
        <v>45868.256249999999</v>
      </c>
      <c r="H4">
        <v>11.75</v>
      </c>
      <c r="I4">
        <v>10.65</v>
      </c>
      <c r="J4">
        <v>2.5</v>
      </c>
      <c r="K4" t="s">
        <v>8</v>
      </c>
      <c r="N4" s="3">
        <f t="shared" ref="N4:N34" si="0">G4-F4</f>
        <v>0.52430555555474712</v>
      </c>
      <c r="O4" s="4">
        <f t="shared" ref="O4:O11" si="1">N4</f>
        <v>0.52430555555474712</v>
      </c>
      <c r="P4" s="5">
        <f t="shared" ref="P4:P34" si="2">H4-I4</f>
        <v>1.0999999999999996</v>
      </c>
      <c r="Q4" s="1">
        <f t="shared" ref="Q4:Q34" si="3">ABS((E4-D4)/0.9982)</f>
        <v>1.0018032458425166</v>
      </c>
      <c r="R4" s="5">
        <f t="shared" ref="R4:R34" si="4">J4*O4</f>
        <v>1.3107638888868678</v>
      </c>
      <c r="S4">
        <f t="shared" ref="S4:S33" si="5">(1-ABS(Q4-R4)/R4)*100</f>
        <v>76.428962861745603</v>
      </c>
      <c r="T4" s="1">
        <f>P4*1440/755</f>
        <v>2.0980132450331119</v>
      </c>
      <c r="U4" s="7">
        <f t="shared" ref="U4:U34" si="6">(1-ABS(T4-J4)/J4)*100%</f>
        <v>0.83920529801324473</v>
      </c>
      <c r="Z4" s="8">
        <v>65.773633770000004</v>
      </c>
      <c r="AA4">
        <v>2.2999999999999998</v>
      </c>
      <c r="AB4">
        <f>Z4/AA4</f>
        <v>28.597232073913048</v>
      </c>
      <c r="AD4">
        <v>247</v>
      </c>
      <c r="AE4">
        <v>0.4</v>
      </c>
      <c r="AF4">
        <v>0.43</v>
      </c>
      <c r="AG4">
        <f>AE4-AF4</f>
        <v>-2.9999999999999971E-2</v>
      </c>
      <c r="AH4">
        <v>1367</v>
      </c>
      <c r="AI4">
        <v>2.4</v>
      </c>
      <c r="AJ4">
        <v>2.37</v>
      </c>
      <c r="AK4">
        <f>AI4-AJ4</f>
        <v>2.9999999999999805E-2</v>
      </c>
      <c r="AL4">
        <v>940</v>
      </c>
      <c r="AM4">
        <v>1.55</v>
      </c>
      <c r="AN4">
        <v>1.63</v>
      </c>
      <c r="AO4">
        <f>AM4-AN4</f>
        <v>-7.9999999999999849E-2</v>
      </c>
    </row>
    <row r="5" spans="1:41" x14ac:dyDescent="0.35">
      <c r="A5">
        <v>2</v>
      </c>
      <c r="B5">
        <v>290</v>
      </c>
      <c r="C5">
        <v>163</v>
      </c>
      <c r="D5">
        <v>4.38</v>
      </c>
      <c r="E5">
        <v>4.68</v>
      </c>
      <c r="F5" s="2">
        <v>45868.517361111109</v>
      </c>
      <c r="G5" s="2">
        <v>45868.688888888886</v>
      </c>
      <c r="H5">
        <v>10.65</v>
      </c>
      <c r="I5">
        <v>10.25</v>
      </c>
      <c r="J5">
        <v>2.5</v>
      </c>
      <c r="K5">
        <v>65.77</v>
      </c>
      <c r="N5" s="3">
        <f t="shared" si="0"/>
        <v>0.17152777777664596</v>
      </c>
      <c r="O5" s="4">
        <f t="shared" si="1"/>
        <v>0.17152777777664596</v>
      </c>
      <c r="P5" s="5">
        <f t="shared" si="2"/>
        <v>0.40000000000000036</v>
      </c>
      <c r="Q5" s="1">
        <f t="shared" si="3"/>
        <v>0.30054097375275479</v>
      </c>
      <c r="R5" s="5">
        <f t="shared" si="4"/>
        <v>0.42881944444161491</v>
      </c>
      <c r="S5">
        <f t="shared" si="5"/>
        <v>70.085668373574507</v>
      </c>
      <c r="T5" s="1">
        <f>P5*1440/247</f>
        <v>2.3319838056680182</v>
      </c>
      <c r="U5" s="7">
        <f t="shared" si="6"/>
        <v>0.93279352226720724</v>
      </c>
      <c r="Z5" s="8">
        <v>80.890960000000007</v>
      </c>
      <c r="AA5">
        <v>2.69</v>
      </c>
      <c r="AB5">
        <f>Z5/AA5</f>
        <v>30.070988847583646</v>
      </c>
      <c r="AD5">
        <v>1007</v>
      </c>
      <c r="AE5">
        <v>1.75</v>
      </c>
      <c r="AF5">
        <v>1.75</v>
      </c>
      <c r="AG5">
        <f t="shared" ref="AG5:AG6" si="7">AE5-AF5</f>
        <v>0</v>
      </c>
      <c r="AH5">
        <v>4312</v>
      </c>
      <c r="AI5">
        <v>8.0500000000000007</v>
      </c>
      <c r="AJ5">
        <v>7.49</v>
      </c>
      <c r="AK5">
        <f t="shared" ref="AK5:AK6" si="8">AI5-AJ5</f>
        <v>0.5600000000000005</v>
      </c>
      <c r="AL5">
        <v>2516</v>
      </c>
      <c r="AM5">
        <v>4.1500000000000004</v>
      </c>
      <c r="AN5">
        <v>4.37</v>
      </c>
      <c r="AO5">
        <f>AM5-AN5</f>
        <v>-0.21999999999999975</v>
      </c>
    </row>
    <row r="6" spans="1:41" x14ac:dyDescent="0.35">
      <c r="A6">
        <v>3</v>
      </c>
      <c r="B6">
        <v>290</v>
      </c>
      <c r="C6">
        <v>163</v>
      </c>
      <c r="D6">
        <v>4.68</v>
      </c>
      <c r="E6">
        <v>6.13</v>
      </c>
      <c r="F6" s="2">
        <v>45868.693055555559</v>
      </c>
      <c r="G6" s="2">
        <v>45869.431250000001</v>
      </c>
      <c r="H6">
        <v>10.25</v>
      </c>
      <c r="I6">
        <v>8.6</v>
      </c>
      <c r="J6">
        <v>2.5</v>
      </c>
      <c r="N6" s="3">
        <f t="shared" si="0"/>
        <v>0.7381944444423425</v>
      </c>
      <c r="O6" s="4">
        <f t="shared" si="1"/>
        <v>0.7381944444423425</v>
      </c>
      <c r="P6" s="5">
        <f t="shared" si="2"/>
        <v>1.6500000000000004</v>
      </c>
      <c r="Q6" s="1">
        <f t="shared" si="3"/>
        <v>1.4526147064716493</v>
      </c>
      <c r="R6" s="5">
        <f t="shared" si="4"/>
        <v>1.8454861111058563</v>
      </c>
      <c r="S6">
        <f t="shared" si="5"/>
        <v>78.711765844783855</v>
      </c>
      <c r="T6" s="1">
        <f>P6*1440/1052</f>
        <v>2.2585551330798483</v>
      </c>
      <c r="U6" s="7">
        <f t="shared" si="6"/>
        <v>0.90342205323193936</v>
      </c>
      <c r="AA6">
        <v>2.5</v>
      </c>
      <c r="AB6">
        <f>(AB4+AB5)/2</f>
        <v>29.334110460748349</v>
      </c>
      <c r="AD6">
        <v>1063</v>
      </c>
      <c r="AE6">
        <v>1.65</v>
      </c>
      <c r="AF6">
        <v>1.85</v>
      </c>
      <c r="AG6">
        <f t="shared" si="7"/>
        <v>-0.20000000000000018</v>
      </c>
      <c r="AH6">
        <v>5679</v>
      </c>
      <c r="AI6">
        <v>10.45</v>
      </c>
      <c r="AJ6">
        <v>9.86</v>
      </c>
      <c r="AK6">
        <f t="shared" si="8"/>
        <v>0.58999999999999986</v>
      </c>
    </row>
    <row r="7" spans="1:41" x14ac:dyDescent="0.35">
      <c r="A7">
        <v>4</v>
      </c>
      <c r="B7">
        <v>290</v>
      </c>
      <c r="C7">
        <v>163</v>
      </c>
      <c r="D7">
        <v>0</v>
      </c>
      <c r="E7">
        <v>0</v>
      </c>
      <c r="F7" s="6">
        <v>45869.445138888892</v>
      </c>
      <c r="G7" s="6">
        <v>45869.492361111108</v>
      </c>
      <c r="H7">
        <v>8.6</v>
      </c>
      <c r="I7">
        <v>7.6</v>
      </c>
      <c r="J7">
        <v>25</v>
      </c>
      <c r="N7" s="3">
        <f t="shared" si="0"/>
        <v>4.722222221607808E-2</v>
      </c>
      <c r="O7" s="4">
        <f t="shared" si="1"/>
        <v>4.722222221607808E-2</v>
      </c>
      <c r="P7" s="5">
        <f t="shared" si="2"/>
        <v>1</v>
      </c>
      <c r="Q7" s="1">
        <f t="shared" si="3"/>
        <v>0</v>
      </c>
      <c r="R7" s="5">
        <f t="shared" si="4"/>
        <v>1.180555555401952</v>
      </c>
      <c r="S7">
        <f t="shared" si="5"/>
        <v>0</v>
      </c>
      <c r="T7" s="1">
        <f>P7*1440/68</f>
        <v>21.176470588235293</v>
      </c>
      <c r="U7" s="7">
        <f t="shared" si="6"/>
        <v>0.84705882352941175</v>
      </c>
      <c r="AB7">
        <f>AB6*AA6</f>
        <v>73.335276151870872</v>
      </c>
    </row>
    <row r="8" spans="1:41" x14ac:dyDescent="0.35">
      <c r="A8">
        <v>5</v>
      </c>
      <c r="B8">
        <v>290</v>
      </c>
      <c r="C8">
        <v>163</v>
      </c>
      <c r="D8">
        <v>0</v>
      </c>
      <c r="E8">
        <v>0</v>
      </c>
      <c r="F8" s="6">
        <v>45869.502083333333</v>
      </c>
      <c r="G8" s="6">
        <v>45869.544444444444</v>
      </c>
      <c r="H8">
        <v>7.5</v>
      </c>
      <c r="I8">
        <v>6.55</v>
      </c>
      <c r="J8">
        <v>25</v>
      </c>
      <c r="K8" t="s">
        <v>17</v>
      </c>
      <c r="N8" s="3">
        <f t="shared" si="0"/>
        <v>4.2361111110949423E-2</v>
      </c>
      <c r="O8" s="4">
        <f t="shared" si="1"/>
        <v>4.2361111110949423E-2</v>
      </c>
      <c r="P8" s="5">
        <f t="shared" si="2"/>
        <v>0.95000000000000018</v>
      </c>
      <c r="Q8" s="1">
        <f t="shared" si="3"/>
        <v>0</v>
      </c>
      <c r="R8" s="5">
        <f t="shared" si="4"/>
        <v>1.0590277777737356</v>
      </c>
      <c r="S8">
        <f t="shared" si="5"/>
        <v>0</v>
      </c>
      <c r="T8" s="1">
        <f>P8*1440/61</f>
        <v>22.426229508196727</v>
      </c>
      <c r="U8" s="7">
        <f t="shared" si="6"/>
        <v>0.89704918032786907</v>
      </c>
    </row>
    <row r="9" spans="1:41" x14ac:dyDescent="0.35">
      <c r="A9">
        <v>6</v>
      </c>
      <c r="B9">
        <v>290</v>
      </c>
      <c r="C9">
        <v>163</v>
      </c>
      <c r="D9">
        <v>0</v>
      </c>
      <c r="E9">
        <v>0</v>
      </c>
      <c r="F9" s="6">
        <v>45869.55</v>
      </c>
      <c r="G9" s="6">
        <v>45869.642361111109</v>
      </c>
      <c r="H9">
        <v>6.55</v>
      </c>
      <c r="I9">
        <v>4</v>
      </c>
      <c r="J9">
        <v>25</v>
      </c>
      <c r="K9">
        <v>80.89</v>
      </c>
      <c r="N9" s="3">
        <f t="shared" si="0"/>
        <v>9.2361111106583849E-2</v>
      </c>
      <c r="O9" s="4">
        <f t="shared" si="1"/>
        <v>9.2361111106583849E-2</v>
      </c>
      <c r="P9" s="5">
        <f t="shared" si="2"/>
        <v>2.5499999999999998</v>
      </c>
      <c r="Q9" s="1">
        <f t="shared" si="3"/>
        <v>0</v>
      </c>
      <c r="R9" s="5">
        <f t="shared" si="4"/>
        <v>2.3090277776645962</v>
      </c>
      <c r="S9">
        <f t="shared" si="5"/>
        <v>0</v>
      </c>
      <c r="T9" s="1">
        <f>P9*1440/133</f>
        <v>27.609022556390975</v>
      </c>
      <c r="U9" s="7">
        <f t="shared" si="6"/>
        <v>0.89563909774436101</v>
      </c>
      <c r="AD9">
        <f>247/-0.03</f>
        <v>-8233.3333333333339</v>
      </c>
      <c r="AH9">
        <f>AH4/AK4</f>
        <v>45566.666666666963</v>
      </c>
      <c r="AL9">
        <f>AL4/AO4</f>
        <v>-11750.000000000022</v>
      </c>
    </row>
    <row r="10" spans="1:41" x14ac:dyDescent="0.35">
      <c r="A10">
        <v>7</v>
      </c>
      <c r="B10">
        <v>290</v>
      </c>
      <c r="C10">
        <v>163</v>
      </c>
      <c r="D10">
        <v>0</v>
      </c>
      <c r="E10">
        <v>0</v>
      </c>
      <c r="F10" s="6">
        <v>45869.643055555556</v>
      </c>
      <c r="G10" s="6">
        <v>45869.714583333334</v>
      </c>
      <c r="H10">
        <v>4</v>
      </c>
      <c r="I10">
        <v>2</v>
      </c>
      <c r="J10">
        <v>25</v>
      </c>
      <c r="N10" s="3">
        <f t="shared" si="0"/>
        <v>7.1527777778101154E-2</v>
      </c>
      <c r="O10" s="4">
        <f t="shared" si="1"/>
        <v>7.1527777778101154E-2</v>
      </c>
      <c r="P10" s="5">
        <f t="shared" si="2"/>
        <v>2</v>
      </c>
      <c r="Q10" s="1">
        <f t="shared" si="3"/>
        <v>0</v>
      </c>
      <c r="R10" s="5">
        <f t="shared" si="4"/>
        <v>1.7881944444525288</v>
      </c>
      <c r="S10">
        <f t="shared" si="5"/>
        <v>0</v>
      </c>
      <c r="T10" s="1">
        <f>P10*1440/103</f>
        <v>27.961165048543688</v>
      </c>
      <c r="U10" s="7">
        <f t="shared" si="6"/>
        <v>0.8815533980582525</v>
      </c>
      <c r="AD10">
        <f>1063/-0.2</f>
        <v>-5315</v>
      </c>
      <c r="AH10">
        <f t="shared" ref="AH10:AH11" si="9">AH5/AK5</f>
        <v>7699.9999999999927</v>
      </c>
      <c r="AL10">
        <f>AL5/AO5</f>
        <v>-11436.363636363649</v>
      </c>
    </row>
    <row r="11" spans="1:41" x14ac:dyDescent="0.35">
      <c r="A11">
        <v>8</v>
      </c>
      <c r="B11">
        <v>290</v>
      </c>
      <c r="C11">
        <v>163</v>
      </c>
      <c r="D11">
        <v>0</v>
      </c>
      <c r="E11">
        <v>0</v>
      </c>
      <c r="F11" s="6">
        <v>45869.759027777778</v>
      </c>
      <c r="G11" s="6">
        <v>45870.458333333336</v>
      </c>
      <c r="H11">
        <v>11.35</v>
      </c>
      <c r="I11">
        <v>9.6</v>
      </c>
      <c r="J11">
        <v>2.5</v>
      </c>
      <c r="N11" s="3">
        <f t="shared" si="0"/>
        <v>0.6993055555576575</v>
      </c>
      <c r="O11" s="4">
        <f t="shared" si="1"/>
        <v>0.6993055555576575</v>
      </c>
      <c r="P11" s="5">
        <f t="shared" si="2"/>
        <v>1.75</v>
      </c>
      <c r="Q11" s="1">
        <f t="shared" si="3"/>
        <v>0</v>
      </c>
      <c r="R11" s="5">
        <f t="shared" si="4"/>
        <v>1.7482638888941437</v>
      </c>
      <c r="S11">
        <f t="shared" si="5"/>
        <v>0</v>
      </c>
      <c r="T11" s="1">
        <f>P11*1440/1007</f>
        <v>2.5024826216484608</v>
      </c>
      <c r="U11" s="7">
        <f t="shared" si="6"/>
        <v>0.99900695134061568</v>
      </c>
      <c r="AH11">
        <f t="shared" si="9"/>
        <v>9625.423728813561</v>
      </c>
    </row>
    <row r="12" spans="1:41" x14ac:dyDescent="0.35">
      <c r="A12">
        <v>9</v>
      </c>
      <c r="B12">
        <v>290</v>
      </c>
      <c r="C12">
        <v>163</v>
      </c>
      <c r="D12">
        <v>0</v>
      </c>
      <c r="E12">
        <v>0</v>
      </c>
      <c r="F12" s="6">
        <v>45870.459027777775</v>
      </c>
      <c r="G12" s="6">
        <v>45870.556944444441</v>
      </c>
      <c r="H12">
        <v>9.6</v>
      </c>
      <c r="I12">
        <v>7.15</v>
      </c>
      <c r="J12">
        <v>25</v>
      </c>
      <c r="N12" s="3">
        <f t="shared" si="0"/>
        <v>9.7916666665696539E-2</v>
      </c>
      <c r="O12" s="4">
        <f t="shared" ref="O12" si="10">N12</f>
        <v>9.7916666665696539E-2</v>
      </c>
      <c r="P12" s="5">
        <f t="shared" si="2"/>
        <v>2.4499999999999993</v>
      </c>
      <c r="Q12" s="1">
        <f t="shared" si="3"/>
        <v>0</v>
      </c>
      <c r="R12" s="5">
        <f t="shared" si="4"/>
        <v>2.4479166666424135</v>
      </c>
      <c r="S12">
        <f t="shared" si="5"/>
        <v>0</v>
      </c>
      <c r="T12" s="1">
        <f>P12*1440/141</f>
        <v>25.021276595744673</v>
      </c>
      <c r="U12" s="7">
        <f t="shared" si="6"/>
        <v>0.99914893617021305</v>
      </c>
    </row>
    <row r="13" spans="1:41" x14ac:dyDescent="0.35">
      <c r="A13">
        <v>10</v>
      </c>
      <c r="B13">
        <v>290</v>
      </c>
      <c r="C13">
        <v>163</v>
      </c>
      <c r="D13">
        <v>0</v>
      </c>
      <c r="E13">
        <v>0</v>
      </c>
      <c r="F13" s="6">
        <v>45870.459027777775</v>
      </c>
      <c r="G13" s="6">
        <v>45870.604166666664</v>
      </c>
      <c r="H13">
        <v>9.6</v>
      </c>
      <c r="I13">
        <v>6</v>
      </c>
      <c r="J13">
        <v>25</v>
      </c>
      <c r="N13" s="3">
        <f t="shared" si="0"/>
        <v>0.14513888888905058</v>
      </c>
      <c r="O13" s="4">
        <f t="shared" ref="O13" si="11">N13</f>
        <v>0.14513888888905058</v>
      </c>
      <c r="P13" s="5">
        <f t="shared" si="2"/>
        <v>3.5999999999999996</v>
      </c>
      <c r="Q13" s="1">
        <f t="shared" si="3"/>
        <v>0</v>
      </c>
      <c r="R13" s="5">
        <f t="shared" si="4"/>
        <v>3.6284722222262644</v>
      </c>
      <c r="S13">
        <f t="shared" si="5"/>
        <v>0</v>
      </c>
      <c r="T13" s="1">
        <f>P13*1440/209</f>
        <v>24.803827751196167</v>
      </c>
      <c r="U13" s="7">
        <f t="shared" si="6"/>
        <v>0.99215311004784668</v>
      </c>
      <c r="AD13">
        <f>5679/1063</f>
        <v>5.3424270931326436</v>
      </c>
      <c r="AL13">
        <f>AH6/AL5</f>
        <v>2.257154213036566</v>
      </c>
    </row>
    <row r="14" spans="1:41" x14ac:dyDescent="0.35">
      <c r="A14">
        <v>11</v>
      </c>
      <c r="B14">
        <v>290</v>
      </c>
      <c r="C14">
        <v>163</v>
      </c>
      <c r="D14">
        <v>0</v>
      </c>
      <c r="E14">
        <v>0</v>
      </c>
      <c r="F14" s="6">
        <v>45870.60833333333</v>
      </c>
      <c r="G14" s="6">
        <v>45870.703472222223</v>
      </c>
      <c r="H14">
        <v>6</v>
      </c>
      <c r="I14">
        <v>5.48</v>
      </c>
      <c r="J14">
        <v>5</v>
      </c>
      <c r="N14" s="3">
        <f t="shared" si="0"/>
        <v>9.5138888893416151E-2</v>
      </c>
      <c r="O14" s="4">
        <f t="shared" ref="O14" si="12">N14</f>
        <v>9.5138888893416151E-2</v>
      </c>
      <c r="P14" s="5">
        <f t="shared" si="2"/>
        <v>0.51999999999999957</v>
      </c>
      <c r="Q14" s="1">
        <f t="shared" si="3"/>
        <v>0</v>
      </c>
      <c r="R14" s="5">
        <f t="shared" si="4"/>
        <v>0.47569444446708076</v>
      </c>
      <c r="S14">
        <f t="shared" si="5"/>
        <v>0</v>
      </c>
      <c r="T14" s="1">
        <f>P14*1440/137</f>
        <v>5.4656934306569296</v>
      </c>
      <c r="U14" s="7">
        <f t="shared" si="6"/>
        <v>0.90686131386861413</v>
      </c>
      <c r="AD14">
        <f>AD6*AD13</f>
        <v>5679</v>
      </c>
      <c r="AG14">
        <f>AG6*AD13</f>
        <v>-1.0684854186265296</v>
      </c>
      <c r="AL14">
        <f>AL5*AL13</f>
        <v>5679</v>
      </c>
      <c r="AO14">
        <f>AO5*AL13</f>
        <v>-0.49657392686804397</v>
      </c>
    </row>
    <row r="15" spans="1:41" x14ac:dyDescent="0.35">
      <c r="A15">
        <v>12</v>
      </c>
      <c r="B15">
        <v>286</v>
      </c>
      <c r="C15">
        <v>159</v>
      </c>
      <c r="D15">
        <v>0</v>
      </c>
      <c r="E15">
        <v>0</v>
      </c>
      <c r="F15" s="6">
        <v>45876.647916666669</v>
      </c>
      <c r="G15" s="6">
        <v>45877.597222222219</v>
      </c>
      <c r="H15">
        <v>11.95</v>
      </c>
      <c r="I15">
        <v>9.5500000000000007</v>
      </c>
      <c r="J15">
        <v>2.5</v>
      </c>
      <c r="N15" s="3">
        <f t="shared" si="0"/>
        <v>0.94930555555038154</v>
      </c>
      <c r="O15" s="4">
        <f t="shared" ref="O15" si="13">N15</f>
        <v>0.94930555555038154</v>
      </c>
      <c r="P15" s="5">
        <f t="shared" si="2"/>
        <v>2.3999999999999986</v>
      </c>
      <c r="Q15" s="1">
        <f t="shared" si="3"/>
        <v>0</v>
      </c>
      <c r="R15" s="5">
        <f t="shared" si="4"/>
        <v>2.3732638888759539</v>
      </c>
      <c r="S15">
        <f t="shared" si="5"/>
        <v>0</v>
      </c>
      <c r="T15" s="1">
        <f>P15*1440/1367</f>
        <v>2.5281638624725664</v>
      </c>
      <c r="U15" s="7">
        <f t="shared" si="6"/>
        <v>0.98873445501097346</v>
      </c>
    </row>
    <row r="16" spans="1:41" x14ac:dyDescent="0.35">
      <c r="A16">
        <v>13</v>
      </c>
      <c r="B16">
        <v>286</v>
      </c>
      <c r="C16">
        <v>159</v>
      </c>
      <c r="D16">
        <v>0</v>
      </c>
      <c r="E16">
        <v>0</v>
      </c>
      <c r="F16" s="6">
        <v>45876.647916666669</v>
      </c>
      <c r="G16" s="6">
        <v>45880.591666666667</v>
      </c>
      <c r="H16">
        <v>11.95</v>
      </c>
      <c r="I16">
        <v>1.5</v>
      </c>
      <c r="J16">
        <v>2.5</v>
      </c>
      <c r="N16" s="3">
        <f t="shared" si="0"/>
        <v>3.9437499999985448</v>
      </c>
      <c r="O16" s="4">
        <f t="shared" ref="O16" si="14">N16</f>
        <v>3.9437499999985448</v>
      </c>
      <c r="P16" s="5">
        <f t="shared" si="2"/>
        <v>10.45</v>
      </c>
      <c r="Q16" s="1">
        <f t="shared" si="3"/>
        <v>0</v>
      </c>
      <c r="R16" s="5">
        <f t="shared" si="4"/>
        <v>9.859374999996362</v>
      </c>
      <c r="S16">
        <f t="shared" si="5"/>
        <v>0</v>
      </c>
      <c r="T16" s="1">
        <f>P16*1440/5679</f>
        <v>2.6497622820919173</v>
      </c>
      <c r="U16" s="7">
        <f t="shared" si="6"/>
        <v>0.94009508716323309</v>
      </c>
    </row>
    <row r="17" spans="1:36" x14ac:dyDescent="0.35">
      <c r="A17">
        <v>14</v>
      </c>
      <c r="B17">
        <v>286</v>
      </c>
      <c r="C17">
        <v>159</v>
      </c>
      <c r="D17">
        <v>0</v>
      </c>
      <c r="E17">
        <v>0</v>
      </c>
      <c r="F17" s="6">
        <v>45877.597222222219</v>
      </c>
      <c r="G17" s="6">
        <v>45880.591666666667</v>
      </c>
      <c r="H17">
        <v>9.5500000000000007</v>
      </c>
      <c r="I17">
        <v>1.5</v>
      </c>
      <c r="J17">
        <v>2.5</v>
      </c>
      <c r="N17" s="3">
        <f t="shared" si="0"/>
        <v>2.9944444444481633</v>
      </c>
      <c r="O17" s="4">
        <f t="shared" ref="O17" si="15">N17</f>
        <v>2.9944444444481633</v>
      </c>
      <c r="P17" s="5">
        <f t="shared" si="2"/>
        <v>8.0500000000000007</v>
      </c>
      <c r="Q17" s="1">
        <f t="shared" si="3"/>
        <v>0</v>
      </c>
      <c r="R17" s="5">
        <f t="shared" si="4"/>
        <v>7.4861111111204082</v>
      </c>
      <c r="S17">
        <f t="shared" si="5"/>
        <v>0</v>
      </c>
      <c r="T17" s="1">
        <f>P17*1440/4312</f>
        <v>2.6883116883116887</v>
      </c>
      <c r="U17" s="7">
        <f t="shared" si="6"/>
        <v>0.92467532467532454</v>
      </c>
    </row>
    <row r="18" spans="1:36" x14ac:dyDescent="0.35">
      <c r="A18">
        <v>15</v>
      </c>
      <c r="B18">
        <v>286</v>
      </c>
      <c r="C18">
        <v>159</v>
      </c>
      <c r="D18">
        <v>0</v>
      </c>
      <c r="E18">
        <v>0</v>
      </c>
      <c r="F18" s="6">
        <v>45880.736805555556</v>
      </c>
      <c r="G18" s="6">
        <v>45881.38958333333</v>
      </c>
      <c r="H18">
        <v>11.65</v>
      </c>
      <c r="I18">
        <v>10.1</v>
      </c>
      <c r="J18">
        <v>2.5</v>
      </c>
      <c r="K18">
        <v>74</v>
      </c>
      <c r="N18" s="3">
        <f t="shared" si="0"/>
        <v>0.65277777777373558</v>
      </c>
      <c r="O18" s="4">
        <f t="shared" ref="O18" si="16">N18</f>
        <v>0.65277777777373558</v>
      </c>
      <c r="P18" s="5">
        <f t="shared" si="2"/>
        <v>1.5500000000000007</v>
      </c>
      <c r="Q18" s="1">
        <f t="shared" si="3"/>
        <v>0</v>
      </c>
      <c r="R18" s="5">
        <f t="shared" si="4"/>
        <v>1.6319444444343389</v>
      </c>
      <c r="S18">
        <f t="shared" si="5"/>
        <v>0</v>
      </c>
      <c r="T18" s="1">
        <f>P18*1440/940</f>
        <v>2.374468085106384</v>
      </c>
      <c r="U18" s="7">
        <f t="shared" si="6"/>
        <v>0.94978723404255361</v>
      </c>
    </row>
    <row r="19" spans="1:36" x14ac:dyDescent="0.35">
      <c r="A19">
        <v>16</v>
      </c>
      <c r="B19">
        <v>286</v>
      </c>
      <c r="C19">
        <v>159</v>
      </c>
      <c r="D19">
        <v>0</v>
      </c>
      <c r="E19">
        <v>0</v>
      </c>
      <c r="F19" s="6">
        <v>45880.736805555556</v>
      </c>
      <c r="G19" s="6">
        <v>45882.484027777777</v>
      </c>
      <c r="H19">
        <v>11.65</v>
      </c>
      <c r="I19">
        <v>7.5</v>
      </c>
      <c r="J19">
        <v>2.5</v>
      </c>
      <c r="N19" s="3">
        <f t="shared" si="0"/>
        <v>1.7472222222204437</v>
      </c>
      <c r="O19" s="4">
        <f t="shared" ref="O19" si="17">N19</f>
        <v>1.7472222222204437</v>
      </c>
      <c r="P19" s="5">
        <f t="shared" si="2"/>
        <v>4.1500000000000004</v>
      </c>
      <c r="Q19" s="1">
        <f t="shared" si="3"/>
        <v>0</v>
      </c>
      <c r="R19" s="5">
        <f t="shared" si="4"/>
        <v>4.3680555555511091</v>
      </c>
      <c r="S19">
        <f t="shared" si="5"/>
        <v>0</v>
      </c>
      <c r="T19" s="1">
        <f>P19*1440/2516</f>
        <v>2.375198728139905</v>
      </c>
      <c r="U19" s="7">
        <f t="shared" si="6"/>
        <v>0.95007949125596203</v>
      </c>
    </row>
    <row r="20" spans="1:36" x14ac:dyDescent="0.35">
      <c r="A20">
        <v>17</v>
      </c>
      <c r="B20">
        <v>286</v>
      </c>
      <c r="C20">
        <v>159</v>
      </c>
      <c r="D20">
        <v>0</v>
      </c>
      <c r="E20">
        <v>0</v>
      </c>
      <c r="F20" s="6">
        <v>45882.546527777777</v>
      </c>
      <c r="G20" s="6">
        <v>45883.46597222222</v>
      </c>
      <c r="H20">
        <v>7.45</v>
      </c>
      <c r="I20">
        <v>5.2</v>
      </c>
      <c r="J20">
        <v>2.5</v>
      </c>
      <c r="K20">
        <v>77.150000000000006</v>
      </c>
      <c r="N20" s="3">
        <f t="shared" si="0"/>
        <v>0.91944444444379769</v>
      </c>
      <c r="O20" s="4">
        <f t="shared" ref="O20" si="18">N20</f>
        <v>0.91944444444379769</v>
      </c>
      <c r="P20" s="5">
        <f t="shared" si="2"/>
        <v>2.25</v>
      </c>
      <c r="Q20" s="1">
        <f t="shared" si="3"/>
        <v>0</v>
      </c>
      <c r="R20" s="5">
        <f t="shared" si="4"/>
        <v>2.2986111111094942</v>
      </c>
      <c r="S20">
        <f t="shared" si="5"/>
        <v>0</v>
      </c>
      <c r="T20" s="1">
        <f>P20*1440/1324</f>
        <v>2.4471299093655587</v>
      </c>
      <c r="U20" s="7">
        <f t="shared" si="6"/>
        <v>0.97885196374622352</v>
      </c>
      <c r="AD20">
        <v>65.77</v>
      </c>
      <c r="AF20">
        <v>80.89</v>
      </c>
      <c r="AH20">
        <v>74</v>
      </c>
      <c r="AJ20">
        <v>77.150000000000006</v>
      </c>
    </row>
    <row r="21" spans="1:36" x14ac:dyDescent="0.35">
      <c r="A21">
        <v>18</v>
      </c>
      <c r="B21">
        <v>286</v>
      </c>
      <c r="C21">
        <v>159</v>
      </c>
      <c r="D21">
        <v>0</v>
      </c>
      <c r="E21">
        <v>0</v>
      </c>
      <c r="F21" s="6">
        <v>45883.520833333336</v>
      </c>
      <c r="G21" s="6">
        <v>45883.713194444441</v>
      </c>
      <c r="H21">
        <v>5</v>
      </c>
      <c r="I21">
        <v>4.55</v>
      </c>
      <c r="J21">
        <v>2.5</v>
      </c>
      <c r="K21" t="s">
        <v>20</v>
      </c>
      <c r="N21" s="3">
        <f t="shared" si="0"/>
        <v>0.19236111110512866</v>
      </c>
      <c r="O21" s="4">
        <f t="shared" ref="O21" si="19">N21</f>
        <v>0.19236111110512866</v>
      </c>
      <c r="P21" s="5">
        <f t="shared" si="2"/>
        <v>0.45000000000000018</v>
      </c>
      <c r="Q21" s="1">
        <f t="shared" si="3"/>
        <v>0</v>
      </c>
      <c r="R21" s="5">
        <f t="shared" si="4"/>
        <v>0.48090277776282164</v>
      </c>
      <c r="S21">
        <f t="shared" si="5"/>
        <v>0</v>
      </c>
      <c r="T21" s="1">
        <f>P21*1440/277</f>
        <v>2.339350180505416</v>
      </c>
      <c r="U21" s="7">
        <f t="shared" si="6"/>
        <v>0.93574007220216637</v>
      </c>
      <c r="AD21">
        <f>AG14</f>
        <v>-1.0684854186265296</v>
      </c>
      <c r="AF21">
        <f>AK6</f>
        <v>0.58999999999999986</v>
      </c>
      <c r="AH21">
        <f>AO14</f>
        <v>-0.49657392686804397</v>
      </c>
      <c r="AJ21">
        <v>0</v>
      </c>
    </row>
    <row r="22" spans="1:36" x14ac:dyDescent="0.35">
      <c r="A22">
        <v>19</v>
      </c>
      <c r="B22">
        <v>286</v>
      </c>
      <c r="C22">
        <v>159</v>
      </c>
      <c r="D22">
        <v>0</v>
      </c>
      <c r="E22">
        <v>0</v>
      </c>
      <c r="F22" s="6">
        <v>45887.504166666666</v>
      </c>
      <c r="G22" s="6">
        <v>45888.709722222222</v>
      </c>
      <c r="H22">
        <v>11.9</v>
      </c>
      <c r="I22">
        <v>9</v>
      </c>
      <c r="J22">
        <v>2.5</v>
      </c>
      <c r="N22" s="3">
        <f t="shared" si="0"/>
        <v>1.2055555555562023</v>
      </c>
      <c r="O22" s="4">
        <f t="shared" ref="O22" si="20">N22</f>
        <v>1.2055555555562023</v>
      </c>
      <c r="P22" s="5">
        <f t="shared" si="2"/>
        <v>2.9000000000000004</v>
      </c>
      <c r="Q22" s="1">
        <f t="shared" si="3"/>
        <v>0</v>
      </c>
      <c r="R22" s="5">
        <f t="shared" si="4"/>
        <v>3.0138888888905058</v>
      </c>
      <c r="S22">
        <f t="shared" si="5"/>
        <v>0</v>
      </c>
      <c r="T22" s="1">
        <f>P22*1440/1736</f>
        <v>2.4055299539170512</v>
      </c>
      <c r="U22" s="7">
        <f t="shared" si="6"/>
        <v>0.96221198156682042</v>
      </c>
    </row>
    <row r="23" spans="1:36" x14ac:dyDescent="0.35">
      <c r="A23">
        <v>20</v>
      </c>
      <c r="B23">
        <v>286</v>
      </c>
      <c r="C23">
        <v>159</v>
      </c>
      <c r="D23">
        <v>0</v>
      </c>
      <c r="E23">
        <v>0</v>
      </c>
      <c r="F23" s="6">
        <v>45888.709722222222</v>
      </c>
      <c r="G23" s="6">
        <v>45889.46597222222</v>
      </c>
      <c r="H23">
        <v>9</v>
      </c>
      <c r="I23">
        <v>7.2</v>
      </c>
      <c r="J23">
        <v>2.5</v>
      </c>
      <c r="N23" s="3">
        <f t="shared" si="0"/>
        <v>0.75624999999854481</v>
      </c>
      <c r="O23" s="4">
        <f t="shared" ref="O23:O24" si="21">N23</f>
        <v>0.75624999999854481</v>
      </c>
      <c r="P23" s="5">
        <f t="shared" si="2"/>
        <v>1.7999999999999998</v>
      </c>
      <c r="Q23" s="1">
        <f t="shared" si="3"/>
        <v>0</v>
      </c>
      <c r="R23" s="5">
        <f t="shared" si="4"/>
        <v>1.890624999996362</v>
      </c>
      <c r="S23">
        <f t="shared" si="5"/>
        <v>0</v>
      </c>
      <c r="T23" s="1">
        <f>P23*1440/1089</f>
        <v>2.380165289256198</v>
      </c>
      <c r="U23" s="7">
        <f t="shared" si="6"/>
        <v>0.95206611570247923</v>
      </c>
    </row>
    <row r="24" spans="1:36" x14ac:dyDescent="0.35">
      <c r="A24">
        <v>21</v>
      </c>
      <c r="B24">
        <v>286</v>
      </c>
      <c r="C24">
        <v>159</v>
      </c>
      <c r="D24">
        <v>0</v>
      </c>
      <c r="E24">
        <v>0</v>
      </c>
      <c r="F24" s="6">
        <v>45887.504166666666</v>
      </c>
      <c r="G24" s="6">
        <v>45889.606944444444</v>
      </c>
      <c r="H24">
        <v>11.9</v>
      </c>
      <c r="I24">
        <v>6.8</v>
      </c>
      <c r="J24">
        <v>2.5</v>
      </c>
      <c r="N24" s="3">
        <f t="shared" si="0"/>
        <v>2.1027777777781012</v>
      </c>
      <c r="O24" s="4">
        <f t="shared" si="21"/>
        <v>2.1027777777781012</v>
      </c>
      <c r="P24" s="5">
        <f t="shared" si="2"/>
        <v>5.1000000000000005</v>
      </c>
      <c r="Q24" s="1">
        <f t="shared" si="3"/>
        <v>0</v>
      </c>
      <c r="R24" s="5">
        <f t="shared" si="4"/>
        <v>5.2569444444452529</v>
      </c>
      <c r="S24">
        <f t="shared" si="5"/>
        <v>0</v>
      </c>
      <c r="T24" s="1">
        <f>P24*1440/3028</f>
        <v>2.4253632760898287</v>
      </c>
      <c r="U24" s="7">
        <f t="shared" si="6"/>
        <v>0.97014531043593144</v>
      </c>
    </row>
    <row r="25" spans="1:36" x14ac:dyDescent="0.35">
      <c r="A25">
        <v>22</v>
      </c>
      <c r="B25">
        <v>286</v>
      </c>
      <c r="C25">
        <v>159</v>
      </c>
      <c r="D25">
        <v>0</v>
      </c>
      <c r="E25">
        <v>0</v>
      </c>
      <c r="F25" s="6">
        <v>45889.631249999999</v>
      </c>
      <c r="G25" s="6">
        <v>45890.431250000001</v>
      </c>
      <c r="H25">
        <v>6.8</v>
      </c>
      <c r="I25">
        <v>4.9000000000000004</v>
      </c>
      <c r="J25">
        <v>2.5</v>
      </c>
      <c r="N25" s="3">
        <f t="shared" si="0"/>
        <v>0.80000000000291038</v>
      </c>
      <c r="O25" s="4">
        <f t="shared" ref="O25" si="22">N25</f>
        <v>0.80000000000291038</v>
      </c>
      <c r="P25" s="5">
        <f t="shared" si="2"/>
        <v>1.8999999999999995</v>
      </c>
      <c r="Q25" s="1">
        <f t="shared" si="3"/>
        <v>0</v>
      </c>
      <c r="R25" s="5">
        <f t="shared" si="4"/>
        <v>2.000000000007276</v>
      </c>
      <c r="S25">
        <f t="shared" si="5"/>
        <v>0</v>
      </c>
      <c r="T25" s="1">
        <f>P25*1440/1152</f>
        <v>2.3749999999999991</v>
      </c>
      <c r="U25" s="7">
        <f t="shared" si="6"/>
        <v>0.94999999999999962</v>
      </c>
    </row>
    <row r="26" spans="1:36" x14ac:dyDescent="0.35">
      <c r="A26">
        <v>23</v>
      </c>
      <c r="B26">
        <v>286</v>
      </c>
      <c r="C26">
        <v>159</v>
      </c>
      <c r="D26">
        <v>0</v>
      </c>
      <c r="E26">
        <v>0</v>
      </c>
      <c r="F26" s="6">
        <v>45887.504166666666</v>
      </c>
      <c r="G26" s="6">
        <v>45890.406944444447</v>
      </c>
      <c r="H26">
        <v>11.9</v>
      </c>
      <c r="I26">
        <v>4.9000000000000004</v>
      </c>
      <c r="J26">
        <v>2.5</v>
      </c>
      <c r="N26" s="3">
        <f t="shared" si="0"/>
        <v>2.9027777777810115</v>
      </c>
      <c r="O26" s="4">
        <f t="shared" ref="O26" si="23">N26</f>
        <v>2.9027777777810115</v>
      </c>
      <c r="P26" s="5">
        <f t="shared" si="2"/>
        <v>7</v>
      </c>
      <c r="Q26" s="1">
        <f t="shared" si="3"/>
        <v>0</v>
      </c>
      <c r="R26" s="5">
        <f t="shared" si="4"/>
        <v>7.2569444444525288</v>
      </c>
      <c r="S26">
        <f t="shared" si="5"/>
        <v>0</v>
      </c>
      <c r="T26" s="1">
        <f>P26*1440/4180</f>
        <v>2.4114832535885169</v>
      </c>
      <c r="U26" s="7">
        <f t="shared" si="6"/>
        <v>0.96459330143540678</v>
      </c>
    </row>
    <row r="27" spans="1:36" x14ac:dyDescent="0.35">
      <c r="A27">
        <v>24</v>
      </c>
      <c r="D27">
        <v>0</v>
      </c>
      <c r="E27">
        <v>0</v>
      </c>
      <c r="F27" s="6">
        <v>45890.59375</v>
      </c>
      <c r="G27" s="6">
        <v>45891.509722222225</v>
      </c>
      <c r="H27">
        <v>11.95</v>
      </c>
      <c r="I27">
        <v>10.7</v>
      </c>
      <c r="J27">
        <v>2.5</v>
      </c>
      <c r="K27">
        <v>78.5</v>
      </c>
      <c r="N27" s="3">
        <f t="shared" si="0"/>
        <v>0.91597222222480923</v>
      </c>
      <c r="O27" s="4">
        <f t="shared" ref="O27:O28" si="24">N27</f>
        <v>0.91597222222480923</v>
      </c>
      <c r="P27" s="5">
        <f t="shared" si="2"/>
        <v>1.25</v>
      </c>
      <c r="Q27" s="1">
        <f t="shared" si="3"/>
        <v>0</v>
      </c>
      <c r="R27" s="5">
        <f t="shared" si="4"/>
        <v>2.2899305555620231</v>
      </c>
      <c r="S27">
        <f t="shared" si="5"/>
        <v>0</v>
      </c>
      <c r="T27" s="1">
        <f>P27*1440/1319</f>
        <v>1.3646702047005308</v>
      </c>
      <c r="U27" s="7">
        <f t="shared" si="6"/>
        <v>0.5458680818802123</v>
      </c>
    </row>
    <row r="28" spans="1:36" x14ac:dyDescent="0.35">
      <c r="A28">
        <v>25</v>
      </c>
      <c r="B28">
        <v>286</v>
      </c>
      <c r="C28">
        <v>159</v>
      </c>
      <c r="D28">
        <v>0</v>
      </c>
      <c r="E28">
        <v>0</v>
      </c>
      <c r="F28" s="6">
        <v>45890.595833333333</v>
      </c>
      <c r="G28" s="6">
        <v>45891.509027777778</v>
      </c>
      <c r="H28">
        <v>4.9000000000000004</v>
      </c>
      <c r="I28">
        <v>2.85</v>
      </c>
      <c r="J28">
        <v>2.5</v>
      </c>
      <c r="N28" s="3">
        <f t="shared" si="0"/>
        <v>0.91319444444525288</v>
      </c>
      <c r="O28" s="4">
        <f t="shared" si="24"/>
        <v>0.91319444444525288</v>
      </c>
      <c r="P28" s="5">
        <f t="shared" si="2"/>
        <v>2.0500000000000003</v>
      </c>
      <c r="Q28" s="1">
        <f t="shared" si="3"/>
        <v>0</v>
      </c>
      <c r="R28" s="5">
        <f t="shared" si="4"/>
        <v>2.2829861111131322</v>
      </c>
      <c r="S28">
        <f t="shared" si="5"/>
        <v>0</v>
      </c>
      <c r="T28" s="1">
        <f>P28*1440/1315</f>
        <v>2.2448669201520914</v>
      </c>
      <c r="U28" s="7">
        <f t="shared" si="6"/>
        <v>0.89794676806083662</v>
      </c>
    </row>
    <row r="29" spans="1:36" x14ac:dyDescent="0.35">
      <c r="A29">
        <v>26</v>
      </c>
      <c r="D29">
        <v>0</v>
      </c>
      <c r="E29">
        <v>0</v>
      </c>
      <c r="F29" s="6">
        <v>45891.552083333336</v>
      </c>
      <c r="G29" s="6">
        <v>45891.629861111112</v>
      </c>
      <c r="H29">
        <v>10.5</v>
      </c>
      <c r="I29">
        <v>9.3000000000000007</v>
      </c>
      <c r="J29">
        <v>25</v>
      </c>
      <c r="K29" t="s">
        <v>20</v>
      </c>
      <c r="N29" s="3">
        <f t="shared" si="0"/>
        <v>7.7777777776645962E-2</v>
      </c>
      <c r="O29" s="4">
        <f t="shared" ref="O29" si="25">N29</f>
        <v>7.7777777776645962E-2</v>
      </c>
      <c r="P29" s="5">
        <f t="shared" si="2"/>
        <v>1.1999999999999993</v>
      </c>
      <c r="Q29" s="1">
        <f t="shared" si="3"/>
        <v>0</v>
      </c>
      <c r="R29" s="5">
        <f t="shared" si="4"/>
        <v>1.9444444444161491</v>
      </c>
      <c r="S29">
        <f t="shared" si="5"/>
        <v>0</v>
      </c>
      <c r="T29" s="1">
        <f>P29*1440/112</f>
        <v>15.42857142857142</v>
      </c>
      <c r="U29" s="7">
        <f t="shared" si="6"/>
        <v>0.61714285714285677</v>
      </c>
    </row>
    <row r="30" spans="1:36" x14ac:dyDescent="0.35">
      <c r="A30">
        <v>27</v>
      </c>
      <c r="D30">
        <v>1408.7</v>
      </c>
      <c r="E30">
        <v>1407.33</v>
      </c>
      <c r="F30" s="6">
        <v>45894.666666666664</v>
      </c>
      <c r="G30" s="6">
        <v>45895.46597222222</v>
      </c>
      <c r="H30">
        <v>9.6999999999999993</v>
      </c>
      <c r="I30">
        <v>8.5500000000000007</v>
      </c>
      <c r="J30">
        <v>2.5</v>
      </c>
      <c r="N30" s="3">
        <f t="shared" si="0"/>
        <v>0.79930555555620231</v>
      </c>
      <c r="O30" s="4">
        <f t="shared" ref="O30:O31" si="26">N30</f>
        <v>0.79930555555620231</v>
      </c>
      <c r="P30" s="5">
        <f t="shared" si="2"/>
        <v>1.1499999999999986</v>
      </c>
      <c r="Q30" s="1">
        <f t="shared" si="3"/>
        <v>1.372470446804366</v>
      </c>
      <c r="R30" s="5">
        <f t="shared" si="4"/>
        <v>1.9982638888905058</v>
      </c>
      <c r="S30">
        <f t="shared" si="5"/>
        <v>68.683143124124683</v>
      </c>
      <c r="T30" s="1">
        <f>P30*1440/1151</f>
        <v>1.4387489139878349</v>
      </c>
      <c r="U30" s="7">
        <f t="shared" si="6"/>
        <v>0.57549956559513393</v>
      </c>
    </row>
    <row r="31" spans="1:36" x14ac:dyDescent="0.35">
      <c r="A31">
        <v>28</v>
      </c>
      <c r="B31">
        <v>286</v>
      </c>
      <c r="C31">
        <v>159</v>
      </c>
      <c r="D31">
        <v>0</v>
      </c>
      <c r="E31">
        <v>0</v>
      </c>
      <c r="F31" s="6">
        <v>45894.665277777778</v>
      </c>
      <c r="G31" s="6">
        <v>45895.466666666667</v>
      </c>
      <c r="H31">
        <v>11.5</v>
      </c>
      <c r="I31">
        <v>9.9</v>
      </c>
      <c r="J31">
        <v>2.5</v>
      </c>
      <c r="N31" s="3">
        <f t="shared" si="0"/>
        <v>0.80138888888905058</v>
      </c>
      <c r="O31" s="4">
        <f t="shared" si="26"/>
        <v>0.80138888888905058</v>
      </c>
      <c r="P31" s="5">
        <f t="shared" si="2"/>
        <v>1.5999999999999996</v>
      </c>
      <c r="Q31" s="1">
        <f t="shared" si="3"/>
        <v>0</v>
      </c>
      <c r="R31" s="5">
        <f t="shared" si="4"/>
        <v>2.0034722222226264</v>
      </c>
      <c r="S31">
        <f t="shared" si="5"/>
        <v>0</v>
      </c>
      <c r="T31" s="1">
        <f>P31*1440/1154</f>
        <v>1.9965337954939337</v>
      </c>
      <c r="U31" s="7">
        <f t="shared" si="6"/>
        <v>0.79861351819757354</v>
      </c>
    </row>
    <row r="32" spans="1:36" x14ac:dyDescent="0.35">
      <c r="A32">
        <v>29</v>
      </c>
      <c r="B32">
        <v>286</v>
      </c>
      <c r="C32">
        <v>159</v>
      </c>
      <c r="D32">
        <v>0</v>
      </c>
      <c r="E32">
        <v>0</v>
      </c>
      <c r="F32" s="6">
        <v>45895.534722222219</v>
      </c>
      <c r="G32" s="6">
        <v>45895.573611111111</v>
      </c>
      <c r="H32">
        <v>9.85</v>
      </c>
      <c r="I32">
        <v>8.9</v>
      </c>
      <c r="J32">
        <v>25</v>
      </c>
      <c r="N32" s="3">
        <f t="shared" si="0"/>
        <v>3.888888889196096E-2</v>
      </c>
      <c r="O32" s="4">
        <f t="shared" ref="O32" si="27">N32</f>
        <v>3.888888889196096E-2</v>
      </c>
      <c r="P32" s="5">
        <f t="shared" si="2"/>
        <v>0.94999999999999929</v>
      </c>
      <c r="Q32" s="1">
        <f t="shared" si="3"/>
        <v>0</v>
      </c>
      <c r="R32" s="5">
        <f t="shared" si="4"/>
        <v>0.972222222299024</v>
      </c>
      <c r="S32">
        <f t="shared" si="5"/>
        <v>0</v>
      </c>
      <c r="T32" s="1">
        <f>P32*1440/56</f>
        <v>24.428571428571413</v>
      </c>
      <c r="U32" s="7">
        <f t="shared" si="6"/>
        <v>0.97714285714285654</v>
      </c>
    </row>
    <row r="33" spans="1:21" x14ac:dyDescent="0.35">
      <c r="A33">
        <v>30</v>
      </c>
      <c r="B33">
        <v>286</v>
      </c>
      <c r="C33">
        <v>159</v>
      </c>
      <c r="D33">
        <v>0</v>
      </c>
      <c r="E33">
        <v>0</v>
      </c>
      <c r="F33" s="6">
        <v>45895.534722222219</v>
      </c>
      <c r="G33" s="6">
        <v>45895.620833333334</v>
      </c>
      <c r="H33">
        <v>9.85</v>
      </c>
      <c r="I33">
        <v>7.75</v>
      </c>
      <c r="J33">
        <v>25</v>
      </c>
      <c r="N33" s="3">
        <f t="shared" si="0"/>
        <v>8.6111111115314998E-2</v>
      </c>
      <c r="O33" s="4">
        <f t="shared" ref="O33:O34" si="28">N33</f>
        <v>8.6111111115314998E-2</v>
      </c>
      <c r="P33" s="5">
        <f t="shared" si="2"/>
        <v>2.0999999999999996</v>
      </c>
      <c r="Q33" s="1">
        <f t="shared" si="3"/>
        <v>0</v>
      </c>
      <c r="R33" s="5">
        <f t="shared" si="4"/>
        <v>2.1527777778828749</v>
      </c>
      <c r="S33">
        <f t="shared" si="5"/>
        <v>0</v>
      </c>
      <c r="T33" s="1">
        <f>P33*1440/124</f>
        <v>24.387096774193544</v>
      </c>
      <c r="U33" s="7">
        <f t="shared" si="6"/>
        <v>0.97548387096774181</v>
      </c>
    </row>
    <row r="34" spans="1:21" x14ac:dyDescent="0.35">
      <c r="A34">
        <v>31</v>
      </c>
      <c r="D34">
        <v>2.64</v>
      </c>
      <c r="E34">
        <v>1.52</v>
      </c>
      <c r="F34" s="6">
        <v>45895.573611111111</v>
      </c>
      <c r="G34" s="6">
        <v>45895.620138888888</v>
      </c>
      <c r="H34">
        <v>8.2249999999999996</v>
      </c>
      <c r="I34">
        <v>7.55</v>
      </c>
      <c r="J34">
        <v>25</v>
      </c>
      <c r="K34" t="s">
        <v>22</v>
      </c>
      <c r="N34" s="3">
        <f t="shared" si="0"/>
        <v>4.6527777776645962E-2</v>
      </c>
      <c r="O34" s="4">
        <f t="shared" si="28"/>
        <v>4.6527777776645962E-2</v>
      </c>
      <c r="P34" s="5">
        <f t="shared" si="2"/>
        <v>0.67499999999999982</v>
      </c>
      <c r="Q34" s="1">
        <f t="shared" si="3"/>
        <v>1.1220196353436187</v>
      </c>
      <c r="R34" s="5">
        <f t="shared" si="4"/>
        <v>1.1631944444161491</v>
      </c>
      <c r="S34">
        <f>(1-ABS(Q34-R34)/R34)*100</f>
        <v>96.460195518454569</v>
      </c>
      <c r="T34" s="1">
        <f>P34*1440/67</f>
        <v>14.507462686567161</v>
      </c>
      <c r="U34" s="7">
        <f t="shared" si="6"/>
        <v>0.58029850746268641</v>
      </c>
    </row>
    <row r="35" spans="1:21" x14ac:dyDescent="0.35">
      <c r="A35">
        <v>32</v>
      </c>
      <c r="B35">
        <v>286</v>
      </c>
      <c r="C35">
        <v>159</v>
      </c>
      <c r="D35">
        <v>0</v>
      </c>
      <c r="E35">
        <v>0</v>
      </c>
      <c r="F35" s="6">
        <v>45895.534722222219</v>
      </c>
      <c r="G35" s="6">
        <v>45895.64166666667</v>
      </c>
      <c r="H35">
        <v>9.85</v>
      </c>
      <c r="I35">
        <v>7.25</v>
      </c>
      <c r="J35">
        <v>25</v>
      </c>
      <c r="N35" s="3">
        <f t="shared" ref="N35" si="29">G35-F35</f>
        <v>0.10694444445107365</v>
      </c>
      <c r="O35" s="4">
        <f t="shared" ref="O35" si="30">N35</f>
        <v>0.10694444445107365</v>
      </c>
      <c r="P35" s="5">
        <f t="shared" ref="P35" si="31">H35-I35</f>
        <v>2.5999999999999996</v>
      </c>
      <c r="Q35" s="1">
        <f t="shared" ref="Q35" si="32">ABS((E35-D35)/0.9982)</f>
        <v>0</v>
      </c>
      <c r="R35" s="5">
        <f t="shared" ref="R35" si="33">J35*O35</f>
        <v>2.6736111112768413</v>
      </c>
      <c r="S35">
        <f>(1-ABS(Q35-R35)/R35)*100</f>
        <v>0</v>
      </c>
      <c r="T35" s="1">
        <f>P35*1440/154</f>
        <v>24.311688311688307</v>
      </c>
      <c r="U35" s="7">
        <f t="shared" ref="U35" si="34">(1-ABS(T35-J35)/J35)*100%</f>
        <v>0.97246753246753226</v>
      </c>
    </row>
    <row r="36" spans="1:21" x14ac:dyDescent="0.35">
      <c r="A36">
        <v>33</v>
      </c>
      <c r="B36">
        <v>286</v>
      </c>
      <c r="C36">
        <v>159</v>
      </c>
      <c r="D36">
        <v>0</v>
      </c>
      <c r="E36">
        <v>0</v>
      </c>
      <c r="F36" s="6">
        <v>45895.702777777777</v>
      </c>
      <c r="G36" s="6">
        <v>45898.65347222222</v>
      </c>
      <c r="H36">
        <v>12</v>
      </c>
      <c r="I36">
        <v>4.9000000000000004</v>
      </c>
      <c r="J36">
        <v>2.5</v>
      </c>
      <c r="N36" s="3">
        <f t="shared" ref="N36:N37" si="35">G36-F36</f>
        <v>2.9506944444437977</v>
      </c>
      <c r="O36" s="4">
        <f t="shared" ref="O36:O37" si="36">N36</f>
        <v>2.9506944444437977</v>
      </c>
      <c r="P36" s="5">
        <f t="shared" ref="P36:P37" si="37">H36-I36</f>
        <v>7.1</v>
      </c>
      <c r="Q36" s="1">
        <f t="shared" ref="Q36:Q37" si="38">ABS((E36-D36)/0.9982)</f>
        <v>0</v>
      </c>
      <c r="R36" s="5">
        <f t="shared" ref="R36:R37" si="39">J36*O36</f>
        <v>7.3767361111094942</v>
      </c>
      <c r="S36">
        <f>(1-ABS(Q36-R36)/R36)*100</f>
        <v>0</v>
      </c>
      <c r="T36" s="1">
        <f>P36*1440/4249</f>
        <v>2.4062132266415626</v>
      </c>
      <c r="U36" s="7">
        <f t="shared" ref="U36:U37" si="40">(1-ABS(T36-J36)/J36)*100%</f>
        <v>0.96248529065662503</v>
      </c>
    </row>
    <row r="37" spans="1:21" x14ac:dyDescent="0.35">
      <c r="A37">
        <v>34</v>
      </c>
      <c r="D37">
        <v>0</v>
      </c>
      <c r="E37">
        <v>3.81</v>
      </c>
      <c r="F37" s="6">
        <v>45895.717361111114</v>
      </c>
      <c r="G37" s="6">
        <v>45898.655555555553</v>
      </c>
      <c r="H37">
        <v>11.5</v>
      </c>
      <c r="I37">
        <v>7.25</v>
      </c>
      <c r="J37">
        <v>2.5</v>
      </c>
      <c r="K37" t="s">
        <v>22</v>
      </c>
      <c r="N37" s="3">
        <f t="shared" si="35"/>
        <v>2.9381944444394321</v>
      </c>
      <c r="O37" s="4">
        <f t="shared" si="36"/>
        <v>2.9381944444394321</v>
      </c>
      <c r="P37" s="5">
        <f t="shared" si="37"/>
        <v>4.25</v>
      </c>
      <c r="Q37" s="1">
        <f t="shared" si="38"/>
        <v>3.8168703666599879</v>
      </c>
      <c r="R37" s="5">
        <f t="shared" si="39"/>
        <v>7.3454861110985803</v>
      </c>
      <c r="S37">
        <f>(1-ABS(Q37-R37)/R37)*100</f>
        <v>51.962120803590253</v>
      </c>
      <c r="T37" s="1">
        <f>P37*1440/4231</f>
        <v>1.4464665563696526</v>
      </c>
      <c r="U37" s="7">
        <f t="shared" si="40"/>
        <v>0.57858662254786108</v>
      </c>
    </row>
    <row r="38" spans="1:21" x14ac:dyDescent="0.35">
      <c r="A38">
        <v>35</v>
      </c>
      <c r="D38">
        <v>0</v>
      </c>
      <c r="E38">
        <v>0</v>
      </c>
      <c r="F38" s="6">
        <v>45903.594444444447</v>
      </c>
      <c r="G38" s="6">
        <v>45904.486805555556</v>
      </c>
      <c r="H38">
        <v>4.95</v>
      </c>
      <c r="I38">
        <v>3.8</v>
      </c>
      <c r="J38">
        <v>2.5</v>
      </c>
      <c r="K38" t="s">
        <v>22</v>
      </c>
      <c r="N38" s="3">
        <f t="shared" ref="N38:N39" si="41">G38-F38</f>
        <v>0.89236111110949423</v>
      </c>
      <c r="O38" s="4">
        <f t="shared" ref="O38:O39" si="42">N38</f>
        <v>0.89236111110949423</v>
      </c>
      <c r="P38" s="5">
        <f t="shared" ref="P38:P39" si="43">H38-I38</f>
        <v>1.1500000000000004</v>
      </c>
      <c r="Q38" s="1">
        <f t="shared" ref="Q38:Q39" si="44">ABS((E38-D38)/0.9982)</f>
        <v>0</v>
      </c>
      <c r="R38" s="5">
        <f t="shared" ref="R38:R39" si="45">J38*O38</f>
        <v>2.2309027777737356</v>
      </c>
      <c r="S38">
        <f t="shared" ref="S38:S39" si="46">(1-ABS(Q38-R38)/R38)*100</f>
        <v>0</v>
      </c>
      <c r="T38" s="1">
        <f>P38*1440/1285</f>
        <v>1.2887159533073933</v>
      </c>
      <c r="U38" s="7">
        <f t="shared" ref="U38:U39" si="47">(1-ABS(T38-J38)/J38)*100%</f>
        <v>0.51548638132295732</v>
      </c>
    </row>
    <row r="39" spans="1:21" x14ac:dyDescent="0.35">
      <c r="A39">
        <v>36</v>
      </c>
      <c r="B39">
        <v>286</v>
      </c>
      <c r="C39">
        <v>159</v>
      </c>
      <c r="D39">
        <v>0</v>
      </c>
      <c r="E39">
        <v>0</v>
      </c>
      <c r="F39" s="6">
        <v>45898.712500000001</v>
      </c>
      <c r="G39" s="6">
        <v>45903.105555555558</v>
      </c>
      <c r="H39">
        <v>11.95</v>
      </c>
      <c r="I39">
        <v>0.8</v>
      </c>
      <c r="J39">
        <v>2.5</v>
      </c>
      <c r="K39">
        <v>79.5</v>
      </c>
      <c r="N39" s="3">
        <f t="shared" si="41"/>
        <v>4.3930555555562023</v>
      </c>
      <c r="O39" s="4">
        <f t="shared" si="42"/>
        <v>4.3930555555562023</v>
      </c>
      <c r="P39" s="5">
        <f t="shared" si="43"/>
        <v>11.149999999999999</v>
      </c>
      <c r="Q39" s="1">
        <f t="shared" si="44"/>
        <v>0</v>
      </c>
      <c r="R39" s="5">
        <f t="shared" si="45"/>
        <v>10.982638888890506</v>
      </c>
      <c r="S39">
        <f t="shared" si="46"/>
        <v>0</v>
      </c>
      <c r="T39" s="1">
        <f>P39*1440/6326</f>
        <v>2.5380967435978499</v>
      </c>
      <c r="U39" s="7">
        <f t="shared" si="47"/>
        <v>0.98476130256086003</v>
      </c>
    </row>
    <row r="40" spans="1:21" x14ac:dyDescent="0.35">
      <c r="A40">
        <v>37</v>
      </c>
      <c r="B40">
        <v>286</v>
      </c>
      <c r="C40">
        <v>159</v>
      </c>
      <c r="D40">
        <v>0</v>
      </c>
      <c r="E40">
        <v>0</v>
      </c>
      <c r="F40" s="6">
        <v>45903.534722222219</v>
      </c>
      <c r="G40" s="6">
        <v>45904.740277777775</v>
      </c>
      <c r="H40">
        <v>11.7</v>
      </c>
      <c r="I40">
        <v>8.6999999999999993</v>
      </c>
      <c r="J40">
        <v>2.5</v>
      </c>
      <c r="N40" s="3">
        <f t="shared" ref="N40" si="48">G40-F40</f>
        <v>1.2055555555562023</v>
      </c>
      <c r="O40" s="4">
        <f t="shared" ref="O40" si="49">N40</f>
        <v>1.2055555555562023</v>
      </c>
      <c r="P40" s="5">
        <f t="shared" ref="P40" si="50">H40-I40</f>
        <v>3</v>
      </c>
      <c r="Q40" s="1">
        <f t="shared" ref="Q40" si="51">ABS((E40-D40)/0.9982)</f>
        <v>0</v>
      </c>
      <c r="R40" s="5">
        <f t="shared" ref="R40" si="52">J40*O40</f>
        <v>3.0138888888905058</v>
      </c>
      <c r="S40">
        <f t="shared" ref="S40" si="53">(1-ABS(Q40-R40)/R40)*100</f>
        <v>0</v>
      </c>
      <c r="T40" s="1">
        <f>P40*1440/1736</f>
        <v>2.4884792626728109</v>
      </c>
      <c r="U40" s="7">
        <f t="shared" ref="U40" si="54">(1-ABS(T40-J40)/J40)*100%</f>
        <v>0.99539170506912433</v>
      </c>
    </row>
    <row r="41" spans="1:21" x14ac:dyDescent="0.35">
      <c r="A41">
        <v>38</v>
      </c>
      <c r="B41">
        <v>286</v>
      </c>
      <c r="C41">
        <v>159</v>
      </c>
      <c r="D41">
        <v>0</v>
      </c>
      <c r="E41">
        <v>0</v>
      </c>
      <c r="F41" s="6">
        <v>45903.534722222219</v>
      </c>
      <c r="G41" s="6">
        <v>45905.46597222222</v>
      </c>
      <c r="H41">
        <v>11.7</v>
      </c>
      <c r="I41">
        <v>7</v>
      </c>
      <c r="J41">
        <v>2.5</v>
      </c>
      <c r="N41" s="3">
        <f t="shared" ref="N41" si="55">G41-F41</f>
        <v>1.9312500000014552</v>
      </c>
      <c r="O41" s="4">
        <f t="shared" ref="O41" si="56">N41</f>
        <v>1.9312500000014552</v>
      </c>
      <c r="P41" s="5">
        <f t="shared" ref="P41" si="57">H41-I41</f>
        <v>4.6999999999999993</v>
      </c>
      <c r="Q41" s="1">
        <f t="shared" ref="Q41" si="58">ABS((E41-D41)/0.9982)</f>
        <v>0</v>
      </c>
      <c r="R41" s="5">
        <f t="shared" ref="R41" si="59">J41*O41</f>
        <v>4.828125000003638</v>
      </c>
      <c r="S41">
        <f t="shared" ref="S41" si="60">(1-ABS(Q41-R41)/R41)*100</f>
        <v>0</v>
      </c>
      <c r="T41" s="1">
        <f>P41*1440/2781</f>
        <v>2.4336569579288021</v>
      </c>
      <c r="U41" s="7">
        <f t="shared" ref="U41" si="61">(1-ABS(T41-J41)/J41)*100%</f>
        <v>0.9734627831715208</v>
      </c>
    </row>
    <row r="42" spans="1:21" x14ac:dyDescent="0.35">
      <c r="A42">
        <v>39</v>
      </c>
      <c r="D42">
        <v>0</v>
      </c>
      <c r="E42">
        <v>0</v>
      </c>
      <c r="F42" s="6">
        <v>45905.546527777777</v>
      </c>
      <c r="G42" s="6">
        <v>45905.604166666664</v>
      </c>
      <c r="H42">
        <v>11.5</v>
      </c>
      <c r="I42">
        <v>10.8</v>
      </c>
      <c r="J42">
        <v>25</v>
      </c>
      <c r="K42" t="s">
        <v>22</v>
      </c>
      <c r="N42" s="3">
        <f t="shared" ref="N42" si="62">G42-F42</f>
        <v>5.7638888887595385E-2</v>
      </c>
      <c r="O42" s="4">
        <f t="shared" ref="O42" si="63">N42</f>
        <v>5.7638888887595385E-2</v>
      </c>
      <c r="P42" s="5">
        <f t="shared" ref="P42" si="64">H42-I42</f>
        <v>0.69999999999999929</v>
      </c>
      <c r="Q42" s="1">
        <f t="shared" ref="Q42" si="65">ABS((E42-D42)/0.9982)</f>
        <v>0</v>
      </c>
      <c r="R42" s="5">
        <f t="shared" ref="R42" si="66">J42*O42</f>
        <v>1.4409722221898846</v>
      </c>
      <c r="S42">
        <f t="shared" ref="S42" si="67">(1-ABS(Q42-R42)/R42)*100</f>
        <v>0</v>
      </c>
      <c r="T42" s="1">
        <f>P42*1440/83</f>
        <v>12.144578313253</v>
      </c>
      <c r="U42" s="7">
        <f t="shared" ref="U42" si="68">(1-ABS(T42-J42)/J42)*100%</f>
        <v>0.48578313253011995</v>
      </c>
    </row>
    <row r="43" spans="1:21" x14ac:dyDescent="0.35">
      <c r="A43">
        <v>40</v>
      </c>
      <c r="D43">
        <v>0</v>
      </c>
      <c r="E43">
        <v>0</v>
      </c>
      <c r="F43" s="6">
        <v>45905.613888888889</v>
      </c>
      <c r="G43" s="6">
        <v>45905.672222222223</v>
      </c>
      <c r="H43">
        <v>10.75</v>
      </c>
      <c r="I43">
        <v>10</v>
      </c>
      <c r="J43">
        <v>25</v>
      </c>
      <c r="K43" t="s">
        <v>22</v>
      </c>
      <c r="N43" s="3">
        <f t="shared" ref="N43" si="69">G43-F43</f>
        <v>5.8333333334303461E-2</v>
      </c>
      <c r="O43" s="4">
        <f t="shared" ref="O43" si="70">N43</f>
        <v>5.8333333334303461E-2</v>
      </c>
      <c r="P43" s="5">
        <f t="shared" ref="P43" si="71">H43-I43</f>
        <v>0.75</v>
      </c>
      <c r="Q43" s="1">
        <f t="shared" ref="Q43" si="72">ABS((E43-D43)/0.9982)</f>
        <v>0</v>
      </c>
      <c r="R43" s="5">
        <f t="shared" ref="R43" si="73">J43*O43</f>
        <v>1.4583333333575865</v>
      </c>
      <c r="S43">
        <f t="shared" ref="S43" si="74">(1-ABS(Q43-R43)/R43)*100</f>
        <v>0</v>
      </c>
      <c r="T43" s="1">
        <f>P43*1440/84</f>
        <v>12.857142857142858</v>
      </c>
      <c r="U43" s="7">
        <f t="shared" ref="U43" si="75">(1-ABS(T43-J43)/J43)*100%</f>
        <v>0.51428571428571423</v>
      </c>
    </row>
    <row r="44" spans="1:21" x14ac:dyDescent="0.35">
      <c r="A44">
        <v>41</v>
      </c>
      <c r="B44">
        <v>286</v>
      </c>
      <c r="C44">
        <v>159</v>
      </c>
      <c r="D44">
        <v>0</v>
      </c>
      <c r="E44">
        <v>0</v>
      </c>
      <c r="F44" s="6">
        <v>45905.501388888886</v>
      </c>
      <c r="G44" s="6">
        <v>45908.460416666669</v>
      </c>
      <c r="H44">
        <v>10.1</v>
      </c>
      <c r="I44">
        <v>2.7</v>
      </c>
      <c r="J44">
        <v>2.5</v>
      </c>
      <c r="N44" s="3">
        <f t="shared" ref="N44" si="76">G44-F44</f>
        <v>2.9590277777824667</v>
      </c>
      <c r="O44" s="4">
        <f t="shared" ref="O44" si="77">N44</f>
        <v>2.9590277777824667</v>
      </c>
      <c r="P44" s="5">
        <f t="shared" ref="P44" si="78">H44-I44</f>
        <v>7.3999999999999995</v>
      </c>
      <c r="Q44" s="1">
        <f t="shared" ref="Q44" si="79">ABS((E44-D44)/0.9982)</f>
        <v>0</v>
      </c>
      <c r="R44" s="5">
        <f t="shared" ref="R44" si="80">J44*O44</f>
        <v>7.3975694444561668</v>
      </c>
      <c r="S44">
        <f t="shared" ref="S44" si="81">(1-ABS(Q44-R44)/R44)*100</f>
        <v>0</v>
      </c>
      <c r="T44" s="1">
        <f>P44*1440/4261</f>
        <v>2.5008214034264258</v>
      </c>
      <c r="U44" s="7">
        <f t="shared" ref="U44" si="82">(1-ABS(T44-J44)/J44)*100%</f>
        <v>0.99967143862942964</v>
      </c>
    </row>
    <row r="45" spans="1:21" x14ac:dyDescent="0.35">
      <c r="A45">
        <v>42</v>
      </c>
      <c r="D45">
        <v>0</v>
      </c>
      <c r="E45">
        <v>0</v>
      </c>
      <c r="F45" s="6">
        <v>45908.588194444441</v>
      </c>
      <c r="G45" s="6">
        <v>45908.632638888892</v>
      </c>
      <c r="H45">
        <v>3.4</v>
      </c>
      <c r="I45">
        <v>1.1000000000000001</v>
      </c>
      <c r="J45">
        <v>50</v>
      </c>
      <c r="K45" t="s">
        <v>22</v>
      </c>
      <c r="N45" s="3">
        <f t="shared" ref="N45" si="83">G45-F45</f>
        <v>4.444444445107365E-2</v>
      </c>
      <c r="O45" s="4">
        <f t="shared" ref="O45" si="84">N45</f>
        <v>4.444444445107365E-2</v>
      </c>
      <c r="P45" s="5">
        <f t="shared" ref="P45" si="85">H45-I45</f>
        <v>2.2999999999999998</v>
      </c>
      <c r="Q45" s="1">
        <f t="shared" ref="Q45" si="86">ABS((E45-D45)/0.9982)</f>
        <v>0</v>
      </c>
      <c r="R45" s="5">
        <f t="shared" ref="R45" si="87">J45*O45</f>
        <v>2.2222222225536825</v>
      </c>
      <c r="S45">
        <f t="shared" ref="S45" si="88">(1-ABS(Q45-R45)/R45)*100</f>
        <v>0</v>
      </c>
      <c r="T45" s="1">
        <f>P45*1440/64</f>
        <v>51.749999999999993</v>
      </c>
      <c r="U45" s="7">
        <f t="shared" ref="U45" si="89">(1-ABS(T45-J45)/J45)*100%</f>
        <v>0.96500000000000019</v>
      </c>
    </row>
    <row r="46" spans="1:21" x14ac:dyDescent="0.35">
      <c r="A46">
        <v>43</v>
      </c>
      <c r="D46">
        <v>0</v>
      </c>
      <c r="E46">
        <v>0</v>
      </c>
      <c r="F46" s="6">
        <v>45908.645138888889</v>
      </c>
      <c r="G46" s="6">
        <v>45909.456944444442</v>
      </c>
      <c r="H46">
        <v>11.5</v>
      </c>
      <c r="I46">
        <v>9.25</v>
      </c>
      <c r="J46">
        <v>2.5</v>
      </c>
      <c r="K46" t="s">
        <v>22</v>
      </c>
      <c r="N46" s="3">
        <f t="shared" ref="N46" si="90">G46-F46</f>
        <v>0.81180555555329192</v>
      </c>
      <c r="O46" s="4">
        <f t="shared" ref="O46" si="91">N46</f>
        <v>0.81180555555329192</v>
      </c>
      <c r="P46" s="5">
        <f t="shared" ref="P46" si="92">H46-I46</f>
        <v>2.25</v>
      </c>
      <c r="Q46" s="1">
        <f t="shared" ref="Q46" si="93">ABS((E46-D46)/0.9982)</f>
        <v>0</v>
      </c>
      <c r="R46" s="5">
        <f t="shared" ref="R46" si="94">J46*O46</f>
        <v>2.0295138888832298</v>
      </c>
      <c r="S46">
        <f t="shared" ref="S46" si="95">(1-ABS(Q46-R46)/R46)*100</f>
        <v>0</v>
      </c>
      <c r="T46" s="1">
        <f>P46*1440/1169</f>
        <v>2.7715996578272026</v>
      </c>
      <c r="U46" s="7">
        <f t="shared" ref="U46" si="96">(1-ABS(T46-J46)/J46)*100%</f>
        <v>0.89136013686911897</v>
      </c>
    </row>
    <row r="47" spans="1:21" x14ac:dyDescent="0.35">
      <c r="A47">
        <v>44</v>
      </c>
      <c r="D47">
        <v>0</v>
      </c>
      <c r="E47">
        <v>0</v>
      </c>
      <c r="F47" s="6">
        <v>45909.593055555553</v>
      </c>
      <c r="G47" s="6">
        <v>45910.438194444447</v>
      </c>
      <c r="H47">
        <v>8.85</v>
      </c>
      <c r="I47">
        <v>6.3</v>
      </c>
      <c r="J47">
        <v>2.5</v>
      </c>
      <c r="K47" t="s">
        <v>22</v>
      </c>
      <c r="N47" s="3">
        <f t="shared" ref="N47" si="97">G47-F47</f>
        <v>0.84513888889341615</v>
      </c>
      <c r="O47" s="4">
        <f t="shared" ref="O47" si="98">N47</f>
        <v>0.84513888889341615</v>
      </c>
      <c r="P47" s="5">
        <f t="shared" ref="P47" si="99">H47-I47</f>
        <v>2.5499999999999998</v>
      </c>
      <c r="Q47" s="1">
        <f t="shared" ref="Q47" si="100">ABS((E47-D47)/0.9982)</f>
        <v>0</v>
      </c>
      <c r="R47" s="5">
        <f t="shared" ref="R47" si="101">J47*O47</f>
        <v>2.1128472222335404</v>
      </c>
      <c r="S47">
        <f t="shared" ref="S47" si="102">(1-ABS(Q47-R47)/R47)*100</f>
        <v>0</v>
      </c>
      <c r="T47" s="1">
        <f>P47*1440/1217</f>
        <v>3.0172555464256363</v>
      </c>
      <c r="U47" s="7">
        <f t="shared" ref="U47" si="103">(1-ABS(T47-J47)/J47)*100%</f>
        <v>0.79309778142974552</v>
      </c>
    </row>
    <row r="48" spans="1:21" x14ac:dyDescent="0.35">
      <c r="A48">
        <v>45</v>
      </c>
      <c r="B48">
        <v>286</v>
      </c>
      <c r="C48">
        <v>159</v>
      </c>
      <c r="D48">
        <v>0</v>
      </c>
      <c r="E48">
        <v>0</v>
      </c>
      <c r="F48" s="6">
        <v>45909.510416666664</v>
      </c>
      <c r="G48" s="6">
        <v>45910.433333333334</v>
      </c>
      <c r="H48">
        <v>10.7</v>
      </c>
      <c r="I48">
        <v>8.4499999999999993</v>
      </c>
      <c r="J48">
        <v>2.5</v>
      </c>
      <c r="N48" s="3">
        <f t="shared" ref="N48" si="104">G48-F48</f>
        <v>0.92291666667006211</v>
      </c>
      <c r="O48" s="4">
        <f t="shared" ref="O48" si="105">N48</f>
        <v>0.92291666667006211</v>
      </c>
      <c r="P48" s="5">
        <f t="shared" ref="P48" si="106">H48-I48</f>
        <v>2.25</v>
      </c>
      <c r="Q48" s="1">
        <f t="shared" ref="Q48" si="107">ABS((E48-D48)/0.9982)</f>
        <v>0</v>
      </c>
      <c r="R48" s="5">
        <f t="shared" ref="R48" si="108">J48*O48</f>
        <v>2.3072916666751553</v>
      </c>
      <c r="S48">
        <f t="shared" ref="S48" si="109">(1-ABS(Q48-R48)/R48)*100</f>
        <v>0</v>
      </c>
      <c r="T48" s="1">
        <f>P48*1440/1329</f>
        <v>2.4379232505643342</v>
      </c>
      <c r="U48" s="7">
        <f t="shared" ref="U48" si="110">(1-ABS(T48-J48)/J48)*100%</f>
        <v>0.97516930022573367</v>
      </c>
    </row>
    <row r="49" spans="1:21" x14ac:dyDescent="0.35">
      <c r="A49">
        <v>46</v>
      </c>
      <c r="D49">
        <v>0</v>
      </c>
      <c r="E49">
        <v>0</v>
      </c>
      <c r="F49" s="6">
        <v>45910.463194444441</v>
      </c>
      <c r="G49" s="6">
        <v>45912.175000000003</v>
      </c>
      <c r="H49">
        <v>6.3</v>
      </c>
      <c r="I49">
        <v>1.1499999999999999</v>
      </c>
      <c r="J49">
        <v>2.5</v>
      </c>
      <c r="K49" t="s">
        <v>22</v>
      </c>
      <c r="N49" s="3">
        <f t="shared" ref="N49" si="111">G49-F49</f>
        <v>1.7118055555620231</v>
      </c>
      <c r="O49" s="4">
        <f t="shared" ref="O49" si="112">N49</f>
        <v>1.7118055555620231</v>
      </c>
      <c r="P49" s="5">
        <f t="shared" ref="P49" si="113">H49-I49</f>
        <v>5.15</v>
      </c>
      <c r="Q49" s="1">
        <f t="shared" ref="Q49" si="114">ABS((E49-D49)/0.9982)</f>
        <v>0</v>
      </c>
      <c r="R49" s="5">
        <f t="shared" ref="R49" si="115">J49*O49</f>
        <v>4.2795138889050577</v>
      </c>
      <c r="S49">
        <f t="shared" ref="S49" si="116">(1-ABS(Q49-R49)/R49)*100</f>
        <v>0</v>
      </c>
      <c r="T49" s="1">
        <f>P49*1440/2465</f>
        <v>3.0085192697768766</v>
      </c>
      <c r="U49" s="7">
        <f t="shared" ref="U49" si="117">(1-ABS(T49-J49)/J49)*100%</f>
        <v>0.79659229208924942</v>
      </c>
    </row>
    <row r="50" spans="1:21" x14ac:dyDescent="0.35">
      <c r="A50">
        <v>47</v>
      </c>
      <c r="B50">
        <v>286</v>
      </c>
      <c r="C50">
        <v>159</v>
      </c>
      <c r="D50">
        <v>0</v>
      </c>
      <c r="E50">
        <v>0</v>
      </c>
      <c r="F50" s="6">
        <v>45912.517361111109</v>
      </c>
      <c r="G50" s="6">
        <v>45915.452777777777</v>
      </c>
      <c r="H50">
        <v>11.2</v>
      </c>
      <c r="I50">
        <v>2.4</v>
      </c>
      <c r="J50">
        <v>2.5</v>
      </c>
      <c r="N50" s="3">
        <f t="shared" ref="N50" si="118">G50-F50</f>
        <v>2.9354166666671517</v>
      </c>
      <c r="O50" s="4">
        <f t="shared" ref="O50" si="119">N50</f>
        <v>2.9354166666671517</v>
      </c>
      <c r="P50" s="5">
        <f t="shared" ref="P50" si="120">H50-I50</f>
        <v>8.7999999999999989</v>
      </c>
      <c r="Q50" s="1">
        <f t="shared" ref="Q50" si="121">ABS((E50-D50)/0.9982)</f>
        <v>0</v>
      </c>
      <c r="R50" s="5">
        <f t="shared" ref="R50" si="122">J50*O50</f>
        <v>7.3385416666678793</v>
      </c>
      <c r="S50">
        <f t="shared" ref="S50" si="123">(1-ABS(Q50-R50)/R50)*100</f>
        <v>0</v>
      </c>
      <c r="T50" s="1">
        <f>P50*1440/4227</f>
        <v>2.997870830376153</v>
      </c>
      <c r="U50" s="7">
        <f t="shared" ref="U50" si="124">(1-ABS(T50-J50)/J50)*100%</f>
        <v>0.80085166784953876</v>
      </c>
    </row>
    <row r="51" spans="1:21" x14ac:dyDescent="0.35">
      <c r="A51">
        <v>48</v>
      </c>
      <c r="B51">
        <v>286</v>
      </c>
      <c r="C51">
        <v>159</v>
      </c>
      <c r="D51">
        <v>0</v>
      </c>
      <c r="E51">
        <v>0</v>
      </c>
      <c r="F51" s="6">
        <v>45915.5625</v>
      </c>
      <c r="G51" s="6">
        <v>45915.701388888891</v>
      </c>
      <c r="H51">
        <v>11.7</v>
      </c>
      <c r="I51">
        <v>11.3</v>
      </c>
      <c r="J51">
        <v>2.5</v>
      </c>
      <c r="N51" s="3">
        <f t="shared" ref="N51" si="125">G51-F51</f>
        <v>0.13888888889050577</v>
      </c>
      <c r="O51" s="4">
        <f t="shared" ref="O51" si="126">N51</f>
        <v>0.13888888889050577</v>
      </c>
      <c r="P51" s="5">
        <f t="shared" ref="P51" si="127">H51-I51</f>
        <v>0.39999999999999858</v>
      </c>
      <c r="Q51" s="1">
        <f t="shared" ref="Q51" si="128">ABS((E51-D51)/0.9982)</f>
        <v>0</v>
      </c>
      <c r="R51" s="5">
        <f t="shared" ref="R51" si="129">J51*O51</f>
        <v>0.34722222222626442</v>
      </c>
      <c r="S51">
        <f t="shared" ref="S51" si="130">(1-ABS(Q51-R51)/R51)*100</f>
        <v>0</v>
      </c>
      <c r="T51" s="1">
        <f>P51*1440/200</f>
        <v>2.8799999999999897</v>
      </c>
      <c r="U51" s="7">
        <f t="shared" ref="U51" si="131">(1-ABS(T51-J51)/J51)*100%</f>
        <v>0.84800000000000408</v>
      </c>
    </row>
    <row r="52" spans="1:21" x14ac:dyDescent="0.35">
      <c r="A52">
        <v>49</v>
      </c>
      <c r="B52">
        <v>286</v>
      </c>
      <c r="C52">
        <v>159</v>
      </c>
      <c r="D52">
        <v>0</v>
      </c>
      <c r="E52">
        <v>0</v>
      </c>
      <c r="F52" s="6">
        <v>45915.5625</v>
      </c>
      <c r="G52" s="6">
        <v>45916.452777777777</v>
      </c>
      <c r="H52">
        <v>11.7</v>
      </c>
      <c r="I52">
        <v>9.1</v>
      </c>
      <c r="J52">
        <v>2.5</v>
      </c>
      <c r="N52" s="3">
        <f t="shared" ref="N52" si="132">G52-F52</f>
        <v>0.89027777777664596</v>
      </c>
      <c r="O52" s="4">
        <f t="shared" ref="O52" si="133">N52</f>
        <v>0.89027777777664596</v>
      </c>
      <c r="P52" s="5">
        <f t="shared" ref="P52" si="134">H52-I52</f>
        <v>2.5999999999999996</v>
      </c>
      <c r="Q52" s="1">
        <f t="shared" ref="Q52" si="135">ABS((E52-D52)/0.9982)</f>
        <v>0</v>
      </c>
      <c r="R52" s="5">
        <f t="shared" ref="R52" si="136">J52*O52</f>
        <v>2.2256944444416149</v>
      </c>
      <c r="S52">
        <f t="shared" ref="S52" si="137">(1-ABS(Q52-R52)/R52)*100</f>
        <v>0</v>
      </c>
      <c r="T52" s="1">
        <f>P52*1440/1282</f>
        <v>2.9204368174726985</v>
      </c>
      <c r="U52" s="7">
        <f t="shared" ref="U52" si="138">(1-ABS(T52-J52)/J52)*100%</f>
        <v>0.83182527301092057</v>
      </c>
    </row>
    <row r="53" spans="1:21" x14ac:dyDescent="0.35">
      <c r="A53">
        <v>50</v>
      </c>
      <c r="B53">
        <v>286</v>
      </c>
      <c r="C53">
        <v>159</v>
      </c>
      <c r="D53">
        <v>0</v>
      </c>
      <c r="E53">
        <v>0</v>
      </c>
      <c r="F53" s="6">
        <v>45915.5625</v>
      </c>
      <c r="G53" s="6">
        <v>45916.731944444444</v>
      </c>
      <c r="H53">
        <v>11.7</v>
      </c>
      <c r="I53">
        <v>8.3000000000000007</v>
      </c>
      <c r="J53">
        <v>2.5</v>
      </c>
      <c r="N53" s="3">
        <f t="shared" ref="N53" si="139">G53-F53</f>
        <v>1.1694444444437977</v>
      </c>
      <c r="O53" s="4">
        <f t="shared" ref="O53" si="140">N53</f>
        <v>1.1694444444437977</v>
      </c>
      <c r="P53" s="5">
        <f t="shared" ref="P53" si="141">H53-I53</f>
        <v>3.3999999999999986</v>
      </c>
      <c r="Q53" s="1">
        <f t="shared" ref="Q53" si="142">ABS((E53-D53)/0.9982)</f>
        <v>0</v>
      </c>
      <c r="R53" s="5">
        <f t="shared" ref="R53" si="143">J53*O53</f>
        <v>2.9236111111094942</v>
      </c>
      <c r="S53">
        <f t="shared" ref="S53" si="144">(1-ABS(Q53-R53)/R53)*100</f>
        <v>0</v>
      </c>
      <c r="T53" s="1">
        <f>P53*1440/1684</f>
        <v>2.9073634204275525</v>
      </c>
      <c r="U53" s="7">
        <f t="shared" ref="U53" si="145">(1-ABS(T53-J53)/J53)*100%</f>
        <v>0.83705463182897899</v>
      </c>
    </row>
    <row r="54" spans="1:21" x14ac:dyDescent="0.35">
      <c r="A54">
        <v>51</v>
      </c>
      <c r="D54">
        <v>0</v>
      </c>
      <c r="E54">
        <v>0</v>
      </c>
      <c r="F54" s="6">
        <v>45918.588194444441</v>
      </c>
      <c r="G54" s="6">
        <v>45922.322222222225</v>
      </c>
      <c r="H54">
        <v>11.8</v>
      </c>
      <c r="I54">
        <v>0.7</v>
      </c>
      <c r="J54">
        <v>2.5</v>
      </c>
      <c r="N54" s="3">
        <f t="shared" ref="N54" si="146">G54-F54</f>
        <v>3.7340277777839219</v>
      </c>
      <c r="O54" s="4">
        <f t="shared" ref="O54" si="147">N54</f>
        <v>3.7340277777839219</v>
      </c>
      <c r="P54" s="5">
        <f t="shared" ref="P54" si="148">H54-I54</f>
        <v>11.100000000000001</v>
      </c>
      <c r="Q54" s="1">
        <f t="shared" ref="Q54" si="149">ABS((E54-D54)/0.9982)</f>
        <v>0</v>
      </c>
      <c r="R54" s="5">
        <f t="shared" ref="R54" si="150">J54*O54</f>
        <v>9.3350694444598048</v>
      </c>
      <c r="S54">
        <f t="shared" ref="S54" si="151">(1-ABS(Q54-R54)/R54)*100</f>
        <v>0</v>
      </c>
      <c r="T54" s="1">
        <f>P54*1440/5377</f>
        <v>2.9726613353170919</v>
      </c>
      <c r="U54" s="7">
        <f t="shared" ref="U54" si="152">(1-ABS(T54-J54)/J54)*100%</f>
        <v>0.81093546587316323</v>
      </c>
    </row>
    <row r="55" spans="1:21" x14ac:dyDescent="0.35">
      <c r="A55">
        <v>52</v>
      </c>
      <c r="D55">
        <v>0</v>
      </c>
      <c r="E55">
        <v>0</v>
      </c>
      <c r="F55" s="6">
        <v>45923.671527777777</v>
      </c>
      <c r="G55" s="6">
        <v>45923.695138888892</v>
      </c>
      <c r="H55">
        <v>8.8000000000000007</v>
      </c>
      <c r="I55">
        <v>6.45</v>
      </c>
      <c r="J55">
        <v>100</v>
      </c>
      <c r="K55" t="s">
        <v>36</v>
      </c>
      <c r="N55" s="3">
        <f t="shared" ref="N55" si="153">G55-F55</f>
        <v>2.3611111115314998E-2</v>
      </c>
      <c r="O55" s="4">
        <f t="shared" ref="O55" si="154">N55</f>
        <v>2.3611111115314998E-2</v>
      </c>
      <c r="P55" s="5">
        <f t="shared" ref="P55" si="155">H55-I55</f>
        <v>2.3500000000000005</v>
      </c>
      <c r="Q55" s="1">
        <f t="shared" ref="Q55" si="156">ABS((E55-D55)/0.9982)</f>
        <v>0</v>
      </c>
      <c r="R55" s="5">
        <f t="shared" ref="R55" si="157">J55*O55</f>
        <v>2.3611111115314998</v>
      </c>
      <c r="S55">
        <f t="shared" ref="S55" si="158">(1-ABS(Q55-R55)/R55)*100</f>
        <v>0</v>
      </c>
      <c r="T55" s="1">
        <f>P55*1440/34</f>
        <v>99.529411764705912</v>
      </c>
      <c r="U55" s="7">
        <f t="shared" ref="U55" si="159">(1-ABS(T55-J55)/J55)*100%</f>
        <v>0.99529411764705911</v>
      </c>
    </row>
    <row r="56" spans="1:21" x14ac:dyDescent="0.35">
      <c r="A56">
        <v>53</v>
      </c>
      <c r="D56">
        <v>0</v>
      </c>
      <c r="E56">
        <v>0</v>
      </c>
      <c r="F56" s="6">
        <v>45923.724999999999</v>
      </c>
      <c r="G56" s="6">
        <v>45925.472916666666</v>
      </c>
      <c r="H56">
        <v>8.5</v>
      </c>
      <c r="I56">
        <v>4.3</v>
      </c>
      <c r="J56">
        <v>2.5</v>
      </c>
      <c r="K56" t="s">
        <v>36</v>
      </c>
      <c r="N56" s="3">
        <f t="shared" ref="N56" si="160">G56-F56</f>
        <v>1.7479166666671517</v>
      </c>
      <c r="O56" s="4">
        <f t="shared" ref="O56" si="161">N56</f>
        <v>1.7479166666671517</v>
      </c>
      <c r="P56" s="5">
        <f t="shared" ref="P56" si="162">H56-I56</f>
        <v>4.2</v>
      </c>
      <c r="Q56" s="1">
        <f t="shared" ref="Q56" si="163">ABS((E56-D56)/0.9982)</f>
        <v>0</v>
      </c>
      <c r="R56" s="5">
        <f t="shared" ref="R56" si="164">J56*O56</f>
        <v>4.3697916666678793</v>
      </c>
      <c r="S56">
        <f t="shared" ref="S56" si="165">(1-ABS(Q56-R56)/R56)*100</f>
        <v>0</v>
      </c>
      <c r="T56" s="1">
        <f>P56*1440/2517</f>
        <v>2.402860548271752</v>
      </c>
      <c r="U56" s="7">
        <f t="shared" ref="U56" si="166">(1-ABS(T56-J56)/J56)*100%</f>
        <v>0.96114421930870075</v>
      </c>
    </row>
    <row r="57" spans="1:21" x14ac:dyDescent="0.35">
      <c r="A57">
        <v>54</v>
      </c>
      <c r="D57">
        <v>0</v>
      </c>
      <c r="E57">
        <v>0</v>
      </c>
      <c r="F57" s="6">
        <v>45923.724999999999</v>
      </c>
      <c r="G57" s="6">
        <v>45925.693749999999</v>
      </c>
      <c r="H57">
        <v>8.5</v>
      </c>
      <c r="I57">
        <v>3.75</v>
      </c>
      <c r="J57">
        <v>2.5</v>
      </c>
      <c r="K57" t="s">
        <v>36</v>
      </c>
      <c r="N57" s="3">
        <f t="shared" ref="N57" si="167">G57-F57</f>
        <v>1.96875</v>
      </c>
      <c r="O57" s="4">
        <f t="shared" ref="O57" si="168">N57</f>
        <v>1.96875</v>
      </c>
      <c r="P57" s="5">
        <f t="shared" ref="P57" si="169">H57-I57</f>
        <v>4.75</v>
      </c>
      <c r="Q57" s="1">
        <f t="shared" ref="Q57" si="170">ABS((E57-D57)/0.9982)</f>
        <v>0</v>
      </c>
      <c r="R57" s="5">
        <f t="shared" ref="R57" si="171">J57*O57</f>
        <v>4.921875</v>
      </c>
      <c r="S57">
        <f t="shared" ref="S57" si="172">(1-ABS(Q57-R57)/R57)*100</f>
        <v>0</v>
      </c>
      <c r="T57" s="1">
        <f>P57*1440/2835</f>
        <v>2.4126984126984126</v>
      </c>
      <c r="U57" s="7">
        <f t="shared" ref="U57" si="173">(1-ABS(T57-J57)/J57)*100%</f>
        <v>0.96507936507936498</v>
      </c>
    </row>
    <row r="58" spans="1:21" x14ac:dyDescent="0.35">
      <c r="A58">
        <v>55</v>
      </c>
      <c r="D58">
        <v>0</v>
      </c>
      <c r="E58">
        <v>0</v>
      </c>
      <c r="F58" s="6">
        <v>45925.716666666667</v>
      </c>
      <c r="G58" s="6">
        <v>45926.490277777775</v>
      </c>
      <c r="H58">
        <v>7.6</v>
      </c>
      <c r="I58">
        <v>5.75</v>
      </c>
      <c r="J58">
        <v>2.5</v>
      </c>
      <c r="K58" t="s">
        <v>37</v>
      </c>
      <c r="N58" s="3">
        <f t="shared" ref="N58:N59" si="174">G58-F58</f>
        <v>0.77361111110803904</v>
      </c>
      <c r="O58" s="4">
        <f t="shared" ref="O58:O59" si="175">N58</f>
        <v>0.77361111110803904</v>
      </c>
      <c r="P58" s="5">
        <f t="shared" ref="P58:P59" si="176">H58-I58</f>
        <v>1.8499999999999996</v>
      </c>
      <c r="Q58" s="1">
        <f t="shared" ref="Q58:Q59" si="177">ABS((E58-D58)/0.9982)</f>
        <v>0</v>
      </c>
      <c r="R58" s="5">
        <f t="shared" ref="R58:R59" si="178">J58*O58</f>
        <v>1.9340277777700976</v>
      </c>
      <c r="S58">
        <f t="shared" ref="S58:S59" si="179">(1-ABS(Q58-R58)/R58)*100</f>
        <v>0</v>
      </c>
      <c r="T58" s="1">
        <f>P58*1440/1114</f>
        <v>2.3913824057450626</v>
      </c>
      <c r="U58" s="7">
        <f t="shared" ref="U58:U59" si="180">(1-ABS(T58-J58)/J58)*100%</f>
        <v>0.956552962298025</v>
      </c>
    </row>
    <row r="59" spans="1:21" x14ac:dyDescent="0.35">
      <c r="A59">
        <v>56</v>
      </c>
      <c r="B59">
        <v>286</v>
      </c>
      <c r="C59">
        <v>159</v>
      </c>
      <c r="D59">
        <v>0</v>
      </c>
      <c r="E59">
        <v>0</v>
      </c>
      <c r="F59" s="6">
        <v>45925.719444444447</v>
      </c>
      <c r="G59" s="6">
        <v>45926.490277777775</v>
      </c>
      <c r="H59">
        <v>12</v>
      </c>
      <c r="I59">
        <v>10.3</v>
      </c>
      <c r="J59">
        <v>2.5</v>
      </c>
      <c r="K59" t="s">
        <v>37</v>
      </c>
      <c r="N59" s="3">
        <f t="shared" si="174"/>
        <v>0.77083333332848269</v>
      </c>
      <c r="O59" s="4">
        <f t="shared" si="175"/>
        <v>0.77083333332848269</v>
      </c>
      <c r="P59" s="5">
        <f t="shared" si="176"/>
        <v>1.6999999999999993</v>
      </c>
      <c r="Q59" s="1">
        <f t="shared" si="177"/>
        <v>0</v>
      </c>
      <c r="R59" s="5">
        <f t="shared" si="178"/>
        <v>1.9270833333212067</v>
      </c>
      <c r="S59">
        <f t="shared" si="179"/>
        <v>0</v>
      </c>
      <c r="T59" s="1">
        <f>P59*1440/1110</f>
        <v>2.2054054054054046</v>
      </c>
      <c r="U59" s="7">
        <f t="shared" si="180"/>
        <v>0.88216216216216181</v>
      </c>
    </row>
    <row r="60" spans="1:21" x14ac:dyDescent="0.35">
      <c r="A60">
        <v>57</v>
      </c>
      <c r="B60">
        <v>286</v>
      </c>
      <c r="C60">
        <v>159</v>
      </c>
      <c r="D60">
        <v>0</v>
      </c>
      <c r="E60">
        <v>0</v>
      </c>
      <c r="F60" s="6">
        <v>45926.496527777781</v>
      </c>
      <c r="G60" s="6">
        <v>45926.574999999997</v>
      </c>
      <c r="H60">
        <v>10.3</v>
      </c>
      <c r="I60">
        <v>10.1</v>
      </c>
      <c r="J60">
        <v>2.5</v>
      </c>
      <c r="K60" t="s">
        <v>37</v>
      </c>
      <c r="N60" s="3">
        <f t="shared" ref="N60:N61" si="181">G60-F60</f>
        <v>7.847222221607808E-2</v>
      </c>
      <c r="O60" s="4">
        <f t="shared" ref="O60:O61" si="182">N60</f>
        <v>7.847222221607808E-2</v>
      </c>
      <c r="P60" s="5">
        <f t="shared" ref="P60:P61" si="183">H60-I60</f>
        <v>0.20000000000000107</v>
      </c>
      <c r="Q60" s="1">
        <f t="shared" ref="Q60:Q61" si="184">ABS((E60-D60)/0.9982)</f>
        <v>0</v>
      </c>
      <c r="R60" s="5">
        <f t="shared" ref="R60:R61" si="185">J60*O60</f>
        <v>0.1961805555401952</v>
      </c>
      <c r="S60">
        <f t="shared" ref="S60:S61" si="186">(1-ABS(Q60-R60)/R60)*100</f>
        <v>0</v>
      </c>
      <c r="T60" s="1">
        <f>P60*1440/113</f>
        <v>2.5486725663716951</v>
      </c>
      <c r="U60" s="7">
        <f t="shared" ref="U60:U61" si="187">(1-ABS(T60-J60)/J60)*100%</f>
        <v>0.9805309734513219</v>
      </c>
    </row>
    <row r="61" spans="1:21" x14ac:dyDescent="0.35">
      <c r="A61">
        <v>58</v>
      </c>
      <c r="D61">
        <v>0</v>
      </c>
      <c r="E61">
        <v>0</v>
      </c>
      <c r="F61" s="6">
        <v>45926.494444444441</v>
      </c>
      <c r="G61" s="6">
        <v>45926.575694444444</v>
      </c>
      <c r="H61">
        <v>5.75</v>
      </c>
      <c r="I61">
        <v>5.55</v>
      </c>
      <c r="J61">
        <v>2.5</v>
      </c>
      <c r="K61" t="s">
        <v>37</v>
      </c>
      <c r="N61" s="3">
        <f t="shared" si="181"/>
        <v>8.1250000002910383E-2</v>
      </c>
      <c r="O61" s="4">
        <f t="shared" si="182"/>
        <v>8.1250000002910383E-2</v>
      </c>
      <c r="P61" s="5">
        <f t="shared" si="183"/>
        <v>0.20000000000000018</v>
      </c>
      <c r="Q61" s="1">
        <f t="shared" si="184"/>
        <v>0</v>
      </c>
      <c r="R61" s="5">
        <f t="shared" si="185"/>
        <v>0.20312500000727596</v>
      </c>
      <c r="S61">
        <f t="shared" si="186"/>
        <v>0</v>
      </c>
      <c r="T61" s="1">
        <f>P61*1440/117</f>
        <v>2.4615384615384635</v>
      </c>
      <c r="U61" s="7">
        <f t="shared" si="187"/>
        <v>0.98461538461538534</v>
      </c>
    </row>
    <row r="62" spans="1:21" x14ac:dyDescent="0.35">
      <c r="A62">
        <v>60</v>
      </c>
      <c r="B62">
        <v>286</v>
      </c>
      <c r="C62">
        <v>159</v>
      </c>
      <c r="D62">
        <v>0</v>
      </c>
      <c r="E62">
        <v>0</v>
      </c>
      <c r="F62" s="6">
        <v>45926.575694444444</v>
      </c>
      <c r="G62" s="6">
        <v>45926.655555555553</v>
      </c>
      <c r="H62">
        <v>5.6</v>
      </c>
      <c r="I62">
        <v>3.45</v>
      </c>
      <c r="J62">
        <v>25</v>
      </c>
      <c r="K62" t="s">
        <v>37</v>
      </c>
      <c r="N62" s="3">
        <f t="shared" ref="N62" si="188">G62-F62</f>
        <v>7.9861111109494232E-2</v>
      </c>
      <c r="O62" s="4">
        <f t="shared" ref="O62" si="189">N62</f>
        <v>7.9861111109494232E-2</v>
      </c>
      <c r="P62" s="5">
        <f t="shared" ref="P62" si="190">H62-I62</f>
        <v>2.1499999999999995</v>
      </c>
      <c r="Q62" s="1">
        <f t="shared" ref="Q62" si="191">ABS((E62-D62)/0.9982)</f>
        <v>0</v>
      </c>
      <c r="R62" s="5">
        <f t="shared" ref="R62" si="192">J62*O62</f>
        <v>1.9965277777373558</v>
      </c>
      <c r="S62">
        <f t="shared" ref="S62" si="193">(1-ABS(Q62-R62)/R62)*100</f>
        <v>0</v>
      </c>
      <c r="T62" s="1">
        <f>P62*1440/115</f>
        <v>26.921739130434776</v>
      </c>
      <c r="U62" s="7">
        <f t="shared" ref="U62" si="194">(1-ABS(T62-J62)/J62)*100%</f>
        <v>0.92313043478260892</v>
      </c>
    </row>
  </sheetData>
  <phoneticPr fontId="7" type="noConversion"/>
  <conditionalFormatting sqref="U4:U6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62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5FDAC-98D4-4D18-97AA-B3B6D97F2F65}">
  <dimension ref="B2:W13"/>
  <sheetViews>
    <sheetView workbookViewId="0">
      <selection activeCell="D13" sqref="D13"/>
    </sheetView>
  </sheetViews>
  <sheetFormatPr defaultRowHeight="14.5" x14ac:dyDescent="0.35"/>
  <cols>
    <col min="2" max="2" width="13.54296875" customWidth="1"/>
    <col min="3" max="3" width="11.6328125" customWidth="1"/>
    <col min="4" max="4" width="14.6328125" customWidth="1"/>
    <col min="5" max="5" width="20.7265625" customWidth="1"/>
    <col min="6" max="6" width="10" customWidth="1"/>
    <col min="7" max="7" width="11.90625" customWidth="1"/>
    <col min="8" max="8" width="17.6328125" customWidth="1"/>
    <col min="9" max="9" width="20.453125" customWidth="1"/>
    <col min="11" max="11" width="13.6328125" customWidth="1"/>
    <col min="12" max="12" width="18.6328125" customWidth="1"/>
    <col min="13" max="13" width="18.90625" customWidth="1"/>
    <col min="14" max="14" width="22.81640625" customWidth="1"/>
  </cols>
  <sheetData>
    <row r="2" spans="2:23" x14ac:dyDescent="0.35">
      <c r="B2" t="s">
        <v>23</v>
      </c>
      <c r="C2" t="s">
        <v>24</v>
      </c>
      <c r="D2" t="s">
        <v>25</v>
      </c>
      <c r="E2" t="s">
        <v>29</v>
      </c>
      <c r="F2" t="s">
        <v>26</v>
      </c>
      <c r="G2" t="s">
        <v>27</v>
      </c>
      <c r="H2" t="s">
        <v>28</v>
      </c>
      <c r="I2" t="s">
        <v>9</v>
      </c>
    </row>
    <row r="3" spans="2:23" x14ac:dyDescent="0.35">
      <c r="B3">
        <v>1</v>
      </c>
      <c r="C3">
        <v>1</v>
      </c>
      <c r="D3" s="11">
        <v>45903.534722222219</v>
      </c>
      <c r="E3">
        <v>1001</v>
      </c>
      <c r="F3">
        <v>15</v>
      </c>
      <c r="G3">
        <v>11.7</v>
      </c>
      <c r="H3">
        <v>0</v>
      </c>
      <c r="I3">
        <v>0</v>
      </c>
    </row>
    <row r="4" spans="2:23" x14ac:dyDescent="0.35">
      <c r="B4">
        <v>1</v>
      </c>
      <c r="C4">
        <v>1</v>
      </c>
      <c r="D4" s="11">
        <v>45903.68472222222</v>
      </c>
      <c r="E4">
        <v>982</v>
      </c>
      <c r="F4">
        <v>15</v>
      </c>
      <c r="G4" t="s">
        <v>32</v>
      </c>
      <c r="H4" t="s">
        <v>32</v>
      </c>
      <c r="I4" s="3">
        <f>D4-D3</f>
        <v>0.15000000000145519</v>
      </c>
      <c r="V4" t="s">
        <v>31</v>
      </c>
      <c r="W4" t="s">
        <v>30</v>
      </c>
    </row>
    <row r="5" spans="2:23" x14ac:dyDescent="0.35">
      <c r="B5">
        <v>1</v>
      </c>
      <c r="C5">
        <v>1</v>
      </c>
      <c r="D5" s="11">
        <v>45904.477777777778</v>
      </c>
      <c r="E5">
        <v>887</v>
      </c>
      <c r="F5">
        <v>15</v>
      </c>
      <c r="G5">
        <v>9.4499999999999993</v>
      </c>
      <c r="H5">
        <f>11.7-9.45</f>
        <v>2.25</v>
      </c>
      <c r="I5" s="3">
        <f>D5-D4</f>
        <v>0.7930555555576575</v>
      </c>
      <c r="V5">
        <v>777</v>
      </c>
      <c r="W5">
        <f>AVERAGE(V5,V6,V7,V8,V9)</f>
        <v>775.4</v>
      </c>
    </row>
    <row r="6" spans="2:23" x14ac:dyDescent="0.35">
      <c r="B6">
        <v>1</v>
      </c>
      <c r="C6">
        <v>1</v>
      </c>
      <c r="D6" s="11">
        <v>45904.740277777775</v>
      </c>
      <c r="E6">
        <v>893</v>
      </c>
      <c r="F6">
        <v>15</v>
      </c>
      <c r="G6">
        <v>8.6999999999999993</v>
      </c>
      <c r="H6">
        <f>9.45-8.7</f>
        <v>0.75</v>
      </c>
      <c r="I6" s="3">
        <f>D6-D5</f>
        <v>0.26249999999708962</v>
      </c>
      <c r="K6" t="s">
        <v>33</v>
      </c>
      <c r="L6" t="s">
        <v>28</v>
      </c>
      <c r="M6" t="s">
        <v>34</v>
      </c>
      <c r="N6" t="s">
        <v>35</v>
      </c>
      <c r="V6">
        <v>788</v>
      </c>
    </row>
    <row r="7" spans="2:23" x14ac:dyDescent="0.35">
      <c r="B7">
        <v>1</v>
      </c>
      <c r="C7">
        <v>1</v>
      </c>
      <c r="D7" s="11">
        <v>45905.469444444447</v>
      </c>
      <c r="E7">
        <v>843</v>
      </c>
      <c r="F7">
        <v>15</v>
      </c>
      <c r="G7">
        <v>7</v>
      </c>
      <c r="H7">
        <f>8.7-7</f>
        <v>1.6999999999999993</v>
      </c>
      <c r="I7" s="3">
        <f>D7-D6</f>
        <v>0.72916666667151731</v>
      </c>
      <c r="K7" s="12">
        <f>SUM(I4,I5,I6,I7)</f>
        <v>1.9347222222277196</v>
      </c>
      <c r="L7">
        <f>11.7-7</f>
        <v>4.6999999999999993</v>
      </c>
      <c r="M7">
        <f>1001-843</f>
        <v>158</v>
      </c>
      <c r="V7">
        <v>778</v>
      </c>
    </row>
    <row r="8" spans="2:23" x14ac:dyDescent="0.35">
      <c r="V8">
        <v>766</v>
      </c>
    </row>
    <row r="9" spans="2:23" x14ac:dyDescent="0.35">
      <c r="B9">
        <v>2</v>
      </c>
      <c r="C9">
        <v>1</v>
      </c>
      <c r="D9" s="11">
        <v>45905.501388888886</v>
      </c>
      <c r="E9">
        <v>843</v>
      </c>
      <c r="F9">
        <v>15</v>
      </c>
      <c r="G9">
        <v>10.1</v>
      </c>
      <c r="H9">
        <v>0</v>
      </c>
      <c r="I9">
        <v>0</v>
      </c>
      <c r="V9">
        <v>768</v>
      </c>
    </row>
    <row r="10" spans="2:23" x14ac:dyDescent="0.35">
      <c r="B10">
        <v>2</v>
      </c>
      <c r="C10">
        <v>1</v>
      </c>
      <c r="D10" s="11">
        <v>45905.72152777778</v>
      </c>
      <c r="E10">
        <v>831</v>
      </c>
      <c r="F10">
        <v>15</v>
      </c>
      <c r="G10">
        <v>9.6</v>
      </c>
      <c r="H10">
        <f>10.1-9.6</f>
        <v>0.5</v>
      </c>
      <c r="I10" s="3">
        <f>D10-D9</f>
        <v>0.22013888889341615</v>
      </c>
    </row>
    <row r="11" spans="2:23" x14ac:dyDescent="0.35">
      <c r="B11">
        <v>2</v>
      </c>
      <c r="C11">
        <v>1</v>
      </c>
      <c r="D11" s="11">
        <v>45908.460416666669</v>
      </c>
      <c r="E11">
        <v>775</v>
      </c>
      <c r="F11">
        <v>15</v>
      </c>
      <c r="G11">
        <v>2.7</v>
      </c>
      <c r="H11">
        <f>9.6-2.7</f>
        <v>6.8999999999999995</v>
      </c>
      <c r="I11" s="3">
        <f>D11-D10</f>
        <v>2.7388888888890506</v>
      </c>
      <c r="K11" s="12">
        <f>SUM(I10,I11)</f>
        <v>2.9590277777824667</v>
      </c>
      <c r="L11">
        <f>10.1-2.7</f>
        <v>7.3999999999999995</v>
      </c>
      <c r="M11">
        <f>843-775</f>
        <v>68</v>
      </c>
      <c r="N11">
        <f>1001-775</f>
        <v>226</v>
      </c>
    </row>
    <row r="13" spans="2:23" x14ac:dyDescent="0.35">
      <c r="B13">
        <v>3</v>
      </c>
      <c r="C13">
        <v>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2025-09-26T14:16:46Z</dcterms:modified>
</cp:coreProperties>
</file>