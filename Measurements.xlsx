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19D9AC7A-0EA1-45BB-83DF-4E89A25C0BB7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7" i="1" l="1"/>
  <c r="O7" i="1"/>
  <c r="P7" i="1"/>
  <c r="Q7" i="1"/>
  <c r="R7" i="1"/>
  <c r="U6" i="1"/>
  <c r="O6" i="1"/>
  <c r="P6" i="1" s="1"/>
  <c r="Q6" i="1"/>
  <c r="R6" i="1"/>
  <c r="U5" i="1"/>
  <c r="U4" i="1"/>
  <c r="Q5" i="1"/>
  <c r="R5" i="1"/>
  <c r="O5" i="1"/>
  <c r="P5" i="1" s="1"/>
  <c r="O4" i="1"/>
  <c r="P4" i="1" s="1"/>
  <c r="R4" i="1"/>
  <c r="Q4" i="1"/>
</calcChain>
</file>

<file path=xl/sharedStrings.xml><?xml version="1.0" encoding="utf-8"?>
<sst xmlns="http://schemas.openxmlformats.org/spreadsheetml/2006/main" count="17" uniqueCount="17">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</sst>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5B9BD5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5"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B3:L7" totalsRowShown="0">
  <autoFilter ref="B3:L7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4"/>
    <tableColumn id="7" xr3:uid="{1D3E761D-6183-43C4-A343-C4E44D78FD50}" name="End_Time" dataDxfId="3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O3:R7" totalsRowShown="0">
  <autoFilter ref="O3:R7" xr:uid="{AFA1B13B-2067-4436-91E8-CE7B0EC89831}"/>
  <tableColumns count="4">
    <tableColumn id="1" xr3:uid="{97463821-DEE2-4F42-AC00-A7A61AC07CE0}" name="Duration" dataDxfId="2">
      <calculatedColumnFormula>H4-G4</calculatedColumnFormula>
    </tableColumn>
    <tableColumn id="4" xr3:uid="{052C2071-850E-42F5-A26B-889DB58815C3}" name="Duration in Min" dataDxfId="1">
      <calculatedColumnFormula>O4</calculatedColumnFormula>
    </tableColumn>
    <tableColumn id="2" xr3:uid="{D45938C1-DA43-4572-97E8-35C0F3958EB1}" name="Volume by Syringe">
      <calculatedColumnFormula>I4-J4</calculatedColumnFormula>
    </tableColumn>
    <tableColumn id="3" xr3:uid="{CE281EF5-AD90-4E03-8914-DD9A9D900FAD}" name="Volume by Weight" dataDxfId="0">
      <calculatedColumnFormula>(F4-E4)/0.9982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U7"/>
  <sheetViews>
    <sheetView tabSelected="1" workbookViewId="0">
      <selection activeCell="M7" sqref="M7"/>
    </sheetView>
  </sheetViews>
  <sheetFormatPr defaultRowHeight="14.5" x14ac:dyDescent="0.35"/>
  <cols>
    <col min="2" max="2" width="10.36328125" customWidth="1"/>
    <col min="3" max="4" width="12.08984375" customWidth="1"/>
    <col min="5" max="5" width="16.7265625" customWidth="1"/>
    <col min="6" max="6" width="15.1796875" customWidth="1"/>
    <col min="7" max="7" width="21.7265625" customWidth="1"/>
    <col min="8" max="8" width="22.08984375" customWidth="1"/>
    <col min="9" max="9" width="18.90625" customWidth="1"/>
    <col min="10" max="10" width="18.36328125" customWidth="1"/>
    <col min="11" max="11" width="20.6328125" customWidth="1"/>
    <col min="12" max="12" width="23.453125" customWidth="1"/>
    <col min="15" max="15" width="12.453125" customWidth="1"/>
    <col min="16" max="16" width="16.7265625" customWidth="1"/>
    <col min="17" max="17" width="19.54296875" customWidth="1"/>
    <col min="18" max="18" width="19.7265625" customWidth="1"/>
    <col min="19" max="19" width="19.81640625" customWidth="1"/>
    <col min="21" max="21" width="9.36328125" bestFit="1" customWidth="1"/>
  </cols>
  <sheetData>
    <row r="3" spans="2:21" x14ac:dyDescent="0.35">
      <c r="B3" t="s">
        <v>6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13</v>
      </c>
      <c r="J3" t="s">
        <v>14</v>
      </c>
      <c r="K3" t="s">
        <v>15</v>
      </c>
      <c r="L3" t="s">
        <v>7</v>
      </c>
      <c r="O3" t="s">
        <v>9</v>
      </c>
      <c r="P3" t="s">
        <v>12</v>
      </c>
      <c r="Q3" t="s">
        <v>10</v>
      </c>
      <c r="R3" t="s">
        <v>11</v>
      </c>
      <c r="U3" t="s">
        <v>16</v>
      </c>
    </row>
    <row r="4" spans="2:21" x14ac:dyDescent="0.35">
      <c r="B4">
        <v>1</v>
      </c>
      <c r="C4">
        <v>282</v>
      </c>
      <c r="D4">
        <v>156</v>
      </c>
      <c r="E4">
        <v>14.89</v>
      </c>
      <c r="F4">
        <v>15.89</v>
      </c>
      <c r="G4" s="2">
        <v>45867.731944444444</v>
      </c>
      <c r="H4" s="2">
        <v>45868.256249999999</v>
      </c>
      <c r="I4">
        <v>11.75</v>
      </c>
      <c r="J4">
        <v>10.65</v>
      </c>
      <c r="K4">
        <v>2.5</v>
      </c>
      <c r="L4" t="s">
        <v>8</v>
      </c>
      <c r="O4" s="3">
        <f>H4-G4</f>
        <v>0.52430555555474712</v>
      </c>
      <c r="P4" s="4">
        <f>O4</f>
        <v>0.52430555555474712</v>
      </c>
      <c r="Q4" s="5">
        <f>I4-J4</f>
        <v>1.0999999999999996</v>
      </c>
      <c r="R4" s="1">
        <f>(F4-E4)/0.9982</f>
        <v>1.0018032458425166</v>
      </c>
      <c r="T4" s="5"/>
      <c r="U4" s="5">
        <f>Q4*1440/755</f>
        <v>2.0980132450331119</v>
      </c>
    </row>
    <row r="5" spans="2:21" x14ac:dyDescent="0.35">
      <c r="B5">
        <v>2</v>
      </c>
      <c r="C5">
        <v>290</v>
      </c>
      <c r="D5">
        <v>163</v>
      </c>
      <c r="E5">
        <v>4.38</v>
      </c>
      <c r="F5">
        <v>4.68</v>
      </c>
      <c r="G5" s="2">
        <v>45868.517361111109</v>
      </c>
      <c r="H5" s="2">
        <v>45868.688888888886</v>
      </c>
      <c r="I5">
        <v>10.65</v>
      </c>
      <c r="J5">
        <v>10.25</v>
      </c>
      <c r="K5">
        <v>2.5</v>
      </c>
      <c r="O5" s="3">
        <f>H5-G5</f>
        <v>0.17152777777664596</v>
      </c>
      <c r="P5" s="4">
        <f>O5</f>
        <v>0.17152777777664596</v>
      </c>
      <c r="Q5" s="5">
        <f>I5-J5</f>
        <v>0.40000000000000036</v>
      </c>
      <c r="R5" s="1">
        <f>(F5-E5)/0.9982</f>
        <v>0.30054097375275479</v>
      </c>
      <c r="U5" s="5">
        <f>Q5*1440/247</f>
        <v>2.3319838056680182</v>
      </c>
    </row>
    <row r="6" spans="2:21" x14ac:dyDescent="0.35">
      <c r="B6">
        <v>3</v>
      </c>
      <c r="C6">
        <v>290</v>
      </c>
      <c r="D6">
        <v>163</v>
      </c>
      <c r="E6">
        <v>4.68</v>
      </c>
      <c r="F6">
        <v>6.13</v>
      </c>
      <c r="G6" s="2">
        <v>45868.693055555559</v>
      </c>
      <c r="H6" s="2">
        <v>45869.431250000001</v>
      </c>
      <c r="I6">
        <v>10.25</v>
      </c>
      <c r="J6">
        <v>8.6</v>
      </c>
      <c r="K6">
        <v>2.5</v>
      </c>
      <c r="O6" s="3">
        <f>H6-G6</f>
        <v>0.7381944444423425</v>
      </c>
      <c r="P6" s="4">
        <f>O6</f>
        <v>0.7381944444423425</v>
      </c>
      <c r="Q6" s="5">
        <f>I6-J6</f>
        <v>1.6500000000000004</v>
      </c>
      <c r="R6" s="1">
        <f>(F6-E6)/0.9982</f>
        <v>1.4526147064716493</v>
      </c>
      <c r="U6" s="5">
        <f>Q6*1440/1052</f>
        <v>2.2585551330798483</v>
      </c>
    </row>
    <row r="7" spans="2:21" x14ac:dyDescent="0.35">
      <c r="B7">
        <v>4</v>
      </c>
      <c r="C7">
        <v>290</v>
      </c>
      <c r="D7">
        <v>163</v>
      </c>
      <c r="E7">
        <v>0</v>
      </c>
      <c r="F7">
        <v>0</v>
      </c>
      <c r="G7" s="6">
        <v>45869.445138888892</v>
      </c>
      <c r="H7" s="6">
        <v>45869.492361111108</v>
      </c>
      <c r="I7">
        <v>8.6</v>
      </c>
      <c r="J7">
        <v>7.6</v>
      </c>
      <c r="K7">
        <v>25</v>
      </c>
      <c r="O7" s="3">
        <f>H7-G7</f>
        <v>4.722222221607808E-2</v>
      </c>
      <c r="P7" s="4">
        <f>O7</f>
        <v>4.722222221607808E-2</v>
      </c>
      <c r="Q7" s="5">
        <f>I7-J7</f>
        <v>1</v>
      </c>
      <c r="R7" s="1">
        <f>(F7-E7)/0.9982</f>
        <v>0</v>
      </c>
      <c r="U7" s="5">
        <f>Q7*1440/68</f>
        <v>21.176470588235293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2025-07-31T11:00:18Z</dcterms:modified>
</cp:coreProperties>
</file>