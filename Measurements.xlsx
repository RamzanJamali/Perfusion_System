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23F4B7CC-1304-4732-9C0D-4575162C0E9A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1" l="1"/>
  <c r="O29" i="1"/>
  <c r="P29" i="1" s="1"/>
  <c r="S29" i="1" s="1"/>
  <c r="Q29" i="1"/>
  <c r="R29" i="1"/>
  <c r="U28" i="1"/>
  <c r="U27" i="1"/>
  <c r="O27" i="1"/>
  <c r="P27" i="1" s="1"/>
  <c r="S27" i="1" s="1"/>
  <c r="Q27" i="1"/>
  <c r="R27" i="1"/>
  <c r="O28" i="1"/>
  <c r="P28" i="1" s="1"/>
  <c r="S28" i="1" s="1"/>
  <c r="Q28" i="1"/>
  <c r="R28" i="1"/>
  <c r="O26" i="1"/>
  <c r="P26" i="1" s="1"/>
  <c r="S26" i="1" s="1"/>
  <c r="Q26" i="1"/>
  <c r="U26" i="1" s="1"/>
  <c r="R26" i="1"/>
  <c r="U25" i="1"/>
  <c r="O25" i="1"/>
  <c r="P25" i="1" s="1"/>
  <c r="S25" i="1" s="1"/>
  <c r="Q25" i="1"/>
  <c r="R25" i="1"/>
  <c r="U24" i="1"/>
  <c r="U23" i="1"/>
  <c r="O23" i="1"/>
  <c r="P23" i="1" s="1"/>
  <c r="S23" i="1" s="1"/>
  <c r="Q23" i="1"/>
  <c r="R23" i="1"/>
  <c r="O24" i="1"/>
  <c r="P24" i="1" s="1"/>
  <c r="S24" i="1" s="1"/>
  <c r="Q24" i="1"/>
  <c r="R24" i="1"/>
  <c r="O22" i="1"/>
  <c r="P22" i="1" s="1"/>
  <c r="S22" i="1" s="1"/>
  <c r="Q22" i="1"/>
  <c r="U22" i="1" s="1"/>
  <c r="R22" i="1"/>
  <c r="O21" i="1"/>
  <c r="P21" i="1" s="1"/>
  <c r="S21" i="1" s="1"/>
  <c r="Q21" i="1"/>
  <c r="U21" i="1" s="1"/>
  <c r="R21" i="1"/>
  <c r="U20" i="1"/>
  <c r="O20" i="1"/>
  <c r="P20" i="1" s="1"/>
  <c r="S20" i="1" s="1"/>
  <c r="Q20" i="1"/>
  <c r="R20" i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O19" i="1"/>
  <c r="P19" i="1" s="1"/>
  <c r="S19" i="1" s="1"/>
  <c r="Q19" i="1"/>
  <c r="U19" i="1" s="1"/>
  <c r="R19" i="1"/>
  <c r="O18" i="1"/>
  <c r="P18" i="1" s="1"/>
  <c r="S18" i="1" s="1"/>
  <c r="Q18" i="1"/>
  <c r="U18" i="1" s="1"/>
  <c r="R18" i="1"/>
  <c r="AB5" i="1"/>
  <c r="AB4" i="1"/>
  <c r="O17" i="1"/>
  <c r="P17" i="1" s="1"/>
  <c r="S17" i="1" s="1"/>
  <c r="Q17" i="1"/>
  <c r="U17" i="1" s="1"/>
  <c r="R17" i="1"/>
  <c r="O16" i="1"/>
  <c r="P16" i="1" s="1"/>
  <c r="S16" i="1" s="1"/>
  <c r="Q16" i="1"/>
  <c r="U16" i="1" s="1"/>
  <c r="V16" i="1" s="1"/>
  <c r="R16" i="1"/>
  <c r="O15" i="1"/>
  <c r="P15" i="1" s="1"/>
  <c r="S15" i="1" s="1"/>
  <c r="Q15" i="1"/>
  <c r="U15" i="1" s="1"/>
  <c r="R15" i="1"/>
  <c r="O14" i="1"/>
  <c r="P14" i="1" s="1"/>
  <c r="S14" i="1" s="1"/>
  <c r="Q14" i="1"/>
  <c r="U14" i="1" s="1"/>
  <c r="R14" i="1"/>
  <c r="O13" i="1"/>
  <c r="P13" i="1" s="1"/>
  <c r="S13" i="1" s="1"/>
  <c r="Q13" i="1"/>
  <c r="U13" i="1" s="1"/>
  <c r="R13" i="1"/>
  <c r="O12" i="1"/>
  <c r="P12" i="1" s="1"/>
  <c r="S12" i="1" s="1"/>
  <c r="Q12" i="1"/>
  <c r="U12" i="1" s="1"/>
  <c r="R12" i="1"/>
  <c r="O11" i="1"/>
  <c r="P11" i="1" s="1"/>
  <c r="S11" i="1" s="1"/>
  <c r="Q11" i="1"/>
  <c r="U11" i="1" s="1"/>
  <c r="V11" i="1" s="1"/>
  <c r="R11" i="1"/>
  <c r="O10" i="1"/>
  <c r="P10" i="1" s="1"/>
  <c r="S10" i="1" s="1"/>
  <c r="Q10" i="1"/>
  <c r="U10" i="1" s="1"/>
  <c r="V10" i="1" s="1"/>
  <c r="R10" i="1"/>
  <c r="V29" i="1" l="1"/>
  <c r="V28" i="1"/>
  <c r="V27" i="1"/>
  <c r="V26" i="1"/>
  <c r="V25" i="1"/>
  <c r="AH11" i="1"/>
  <c r="V24" i="1"/>
  <c r="V23" i="1"/>
  <c r="AO14" i="1"/>
  <c r="AH21" i="1" s="1"/>
  <c r="AB6" i="1"/>
  <c r="AB7" i="1" s="1"/>
  <c r="V22" i="1"/>
  <c r="V21" i="1"/>
  <c r="V20" i="1"/>
  <c r="V19" i="1"/>
  <c r="V18" i="1"/>
  <c r="V17" i="1"/>
  <c r="V15" i="1"/>
  <c r="V14" i="1"/>
  <c r="V13" i="1"/>
  <c r="V12" i="1"/>
  <c r="U9" i="1"/>
  <c r="V9" i="1" s="1"/>
  <c r="O9" i="1"/>
  <c r="P9" i="1" s="1"/>
  <c r="S9" i="1" s="1"/>
  <c r="Q9" i="1"/>
  <c r="R9" i="1"/>
  <c r="U8" i="1"/>
  <c r="V8" i="1" s="1"/>
  <c r="O8" i="1"/>
  <c r="P8" i="1" s="1"/>
  <c r="S8" i="1" s="1"/>
  <c r="Q8" i="1"/>
  <c r="R8" i="1"/>
  <c r="O7" i="1"/>
  <c r="P7" i="1" s="1"/>
  <c r="S7" i="1" s="1"/>
  <c r="Q7" i="1"/>
  <c r="U7" i="1" s="1"/>
  <c r="V7" i="1" s="1"/>
  <c r="R7" i="1"/>
  <c r="O6" i="1"/>
  <c r="P6" i="1" s="1"/>
  <c r="S6" i="1" s="1"/>
  <c r="Q6" i="1"/>
  <c r="U6" i="1" s="1"/>
  <c r="V6" i="1" s="1"/>
  <c r="R6" i="1"/>
  <c r="Q5" i="1"/>
  <c r="U5" i="1" s="1"/>
  <c r="V5" i="1" s="1"/>
  <c r="R5" i="1"/>
  <c r="O5" i="1"/>
  <c r="P5" i="1" s="1"/>
  <c r="S5" i="1" s="1"/>
  <c r="O4" i="1"/>
  <c r="P4" i="1" s="1"/>
  <c r="S4" i="1" s="1"/>
  <c r="R4" i="1"/>
  <c r="Q4" i="1"/>
  <c r="U4" i="1" s="1"/>
  <c r="V4" i="1" s="1"/>
</calcChain>
</file>

<file path=xl/sharedStrings.xml><?xml version="1.0" encoding="utf-8"?>
<sst xmlns="http://schemas.openxmlformats.org/spreadsheetml/2006/main" count="22" uniqueCount="21">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</sst>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30" totalsRowShown="0">
  <autoFilter ref="B3:L30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S19" totalsRowShown="0">
  <autoFilter ref="O3:S19" xr:uid="{AFA1B13B-2067-4436-91E8-CE7B0EC89831}"/>
  <tableColumns count="5">
    <tableColumn id="1" xr3:uid="{97463821-DEE2-4F42-AC00-A7A61AC07CE0}" name="Duration" dataDxfId="5">
      <calculatedColumnFormula>H4-G4</calculatedColumnFormula>
    </tableColumn>
    <tableColumn id="4" xr3:uid="{052C2071-850E-42F5-A26B-889DB58815C3}" name="Duration in Min" dataDxfId="4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3">
      <calculatedColumnFormula>(F4-E4)/0.9982</calculatedColumnFormula>
    </tableColumn>
    <tableColumn id="5" xr3:uid="{9AD10D29-13FB-4A61-B0DA-D4754470DC60}" name="Expected Vol for Perfusion" dataDxfId="2">
      <calculatedColumnFormula>K4*P4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O30"/>
  <sheetViews>
    <sheetView tabSelected="1" zoomScaleNormal="100" workbookViewId="0">
      <selection activeCell="R36" sqref="R36"/>
    </sheetView>
  </sheetViews>
  <sheetFormatPr defaultRowHeight="14.5" x14ac:dyDescent="0.35"/>
  <cols>
    <col min="2" max="2" width="10.453125" customWidth="1"/>
    <col min="3" max="4" width="12.1796875" customWidth="1"/>
    <col min="5" max="5" width="16.7265625" customWidth="1"/>
    <col min="6" max="6" width="15.1796875" customWidth="1"/>
    <col min="7" max="7" width="21.7265625" customWidth="1"/>
    <col min="8" max="8" width="22.1796875" customWidth="1"/>
    <col min="9" max="9" width="18.81640625" customWidth="1"/>
    <col min="10" max="10" width="18.453125" customWidth="1"/>
    <col min="11" max="11" width="20.54296875" customWidth="1"/>
    <col min="12" max="12" width="23.453125" customWidth="1"/>
    <col min="15" max="15" width="12.453125" customWidth="1"/>
    <col min="16" max="16" width="16.26953125" customWidth="1"/>
    <col min="17" max="17" width="18.54296875" customWidth="1"/>
    <col min="18" max="18" width="19.7265625" customWidth="1"/>
    <col min="19" max="19" width="25.453125" customWidth="1"/>
    <col min="21" max="21" width="11.54296875" customWidth="1"/>
    <col min="22" max="22" width="10.54296875" customWidth="1"/>
  </cols>
  <sheetData>
    <row r="3" spans="2:41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S3" t="s">
        <v>19</v>
      </c>
      <c r="U3" t="s">
        <v>16</v>
      </c>
      <c r="V3" t="s">
        <v>18</v>
      </c>
      <c r="AD3">
        <v>65.77</v>
      </c>
      <c r="AH3">
        <v>80.89</v>
      </c>
      <c r="AL3">
        <v>74</v>
      </c>
    </row>
    <row r="4" spans="2:41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S4" s="5">
        <f t="shared" ref="S4:S18" si="4">K4*P4</f>
        <v>1.3107638888868678</v>
      </c>
      <c r="T4" s="5"/>
      <c r="U4" s="1">
        <f>Q4*1440/755</f>
        <v>2.0980132450331119</v>
      </c>
      <c r="V4" s="7">
        <f>(1-ABS(U4-K4)/K4)*100%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2:41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L5">
        <v>65.77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S5" s="5">
        <f t="shared" si="4"/>
        <v>0.42881944444161491</v>
      </c>
      <c r="U5" s="1">
        <f>Q5*1440/247</f>
        <v>2.3319838056680182</v>
      </c>
      <c r="V5" s="7">
        <f t="shared" ref="V5:V11" si="5">(1-ABS(U5-K5)/K5)*100%</f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6">AE5-AF5</f>
        <v>0</v>
      </c>
      <c r="AH5">
        <v>4312</v>
      </c>
      <c r="AI5">
        <v>8.0500000000000007</v>
      </c>
      <c r="AJ5">
        <v>7.49</v>
      </c>
      <c r="AK5">
        <f t="shared" ref="AK5:AK6" si="7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2:41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S6" s="5">
        <f t="shared" si="4"/>
        <v>1.8454861111058563</v>
      </c>
      <c r="U6" s="1">
        <f>Q6*1440/1052</f>
        <v>2.2585551330798483</v>
      </c>
      <c r="V6" s="7">
        <f t="shared" si="5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6"/>
        <v>-0.20000000000000018</v>
      </c>
      <c r="AH6">
        <v>5679</v>
      </c>
      <c r="AI6">
        <v>10.45</v>
      </c>
      <c r="AJ6">
        <v>9.86</v>
      </c>
      <c r="AK6">
        <f t="shared" si="7"/>
        <v>0.58999999999999986</v>
      </c>
    </row>
    <row r="7" spans="2:41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S7" s="5">
        <f t="shared" si="4"/>
        <v>1.180555555401952</v>
      </c>
      <c r="U7" s="1">
        <f>Q7*1440/68</f>
        <v>21.176470588235293</v>
      </c>
      <c r="V7" s="7">
        <f t="shared" si="5"/>
        <v>0.84705882352941175</v>
      </c>
      <c r="AB7">
        <f>AB6*AA6</f>
        <v>73.335276151870872</v>
      </c>
    </row>
    <row r="8" spans="2:41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S8" s="5">
        <f t="shared" si="4"/>
        <v>1.0590277777737356</v>
      </c>
      <c r="U8" s="1">
        <f>Q8*1440/61</f>
        <v>22.426229508196727</v>
      </c>
      <c r="V8" s="7">
        <f t="shared" si="5"/>
        <v>0.89704918032786907</v>
      </c>
    </row>
    <row r="9" spans="2:41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L9">
        <v>80.89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S9" s="5">
        <f t="shared" si="4"/>
        <v>2.3090277776645962</v>
      </c>
      <c r="U9" s="1">
        <f>Q9*1440/133</f>
        <v>27.609022556390975</v>
      </c>
      <c r="V9" s="7">
        <f t="shared" si="5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2:41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S10" s="5">
        <f t="shared" si="4"/>
        <v>1.7881944444525288</v>
      </c>
      <c r="U10" s="1">
        <f>Q10*1440/103</f>
        <v>27.961165048543688</v>
      </c>
      <c r="V10" s="7">
        <f t="shared" si="5"/>
        <v>0.8815533980582525</v>
      </c>
      <c r="AD10">
        <f>1063/-0.2</f>
        <v>-5315</v>
      </c>
      <c r="AH10">
        <f t="shared" ref="AH10:AH11" si="8">AH5/AK5</f>
        <v>7699.9999999999927</v>
      </c>
      <c r="AL10">
        <f>AL5/AO5</f>
        <v>-11436.363636363649</v>
      </c>
    </row>
    <row r="11" spans="2:41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S11" s="5">
        <f t="shared" si="4"/>
        <v>1.7482638888941437</v>
      </c>
      <c r="U11" s="1">
        <f>Q11*1440/1007</f>
        <v>2.5024826216484608</v>
      </c>
      <c r="V11" s="7">
        <f t="shared" si="5"/>
        <v>0.99900695134061568</v>
      </c>
      <c r="AH11">
        <f t="shared" si="8"/>
        <v>9625.423728813561</v>
      </c>
    </row>
    <row r="12" spans="2:41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9">H12-G12</f>
        <v>9.7916666665696539E-2</v>
      </c>
      <c r="P12" s="4">
        <f t="shared" ref="P12" si="10">O12</f>
        <v>9.7916666665696539E-2</v>
      </c>
      <c r="Q12" s="5">
        <f t="shared" ref="Q12" si="11">I12-J12</f>
        <v>2.4499999999999993</v>
      </c>
      <c r="R12" s="1">
        <f t="shared" ref="R12" si="12">(F12-E12)/0.9982</f>
        <v>0</v>
      </c>
      <c r="S12" s="5">
        <f t="shared" si="4"/>
        <v>2.4479166666424135</v>
      </c>
      <c r="U12" s="1">
        <f>Q12*1440/141</f>
        <v>25.021276595744673</v>
      </c>
      <c r="V12" s="7">
        <f t="shared" ref="V12" si="13">(1-ABS(U12-K12)/K12)*100%</f>
        <v>0.99914893617021305</v>
      </c>
    </row>
    <row r="13" spans="2:41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4">H13-G13</f>
        <v>0.14513888888905058</v>
      </c>
      <c r="P13" s="4">
        <f t="shared" ref="P13" si="15">O13</f>
        <v>0.14513888888905058</v>
      </c>
      <c r="Q13" s="5">
        <f t="shared" ref="Q13" si="16">I13-J13</f>
        <v>3.5999999999999996</v>
      </c>
      <c r="R13" s="1">
        <f t="shared" ref="R13" si="17">(F13-E13)/0.9982</f>
        <v>0</v>
      </c>
      <c r="S13" s="5">
        <f t="shared" si="4"/>
        <v>3.6284722222262644</v>
      </c>
      <c r="U13" s="1">
        <f>Q13*1440/209</f>
        <v>24.803827751196167</v>
      </c>
      <c r="V13" s="7">
        <f t="shared" ref="V13" si="18">(1-ABS(U13-K13)/K13)*100%</f>
        <v>0.99215311004784668</v>
      </c>
      <c r="AD13">
        <f>5679/1063</f>
        <v>5.3424270931326436</v>
      </c>
      <c r="AL13">
        <f>AH6/AL5</f>
        <v>2.257154213036566</v>
      </c>
    </row>
    <row r="14" spans="2:41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9">H14-G14</f>
        <v>9.5138888893416151E-2</v>
      </c>
      <c r="P14" s="4">
        <f t="shared" ref="P14" si="20">O14</f>
        <v>9.5138888893416151E-2</v>
      </c>
      <c r="Q14" s="5">
        <f t="shared" ref="Q14" si="21">I14-J14</f>
        <v>0.51999999999999957</v>
      </c>
      <c r="R14" s="1">
        <f t="shared" ref="R14" si="22">(F14-E14)/0.9982</f>
        <v>0</v>
      </c>
      <c r="S14" s="5">
        <f t="shared" si="4"/>
        <v>0.47569444446708076</v>
      </c>
      <c r="U14" s="1">
        <f>Q14*1440/137</f>
        <v>5.4656934306569296</v>
      </c>
      <c r="V14" s="7">
        <f t="shared" ref="V14" si="23">(1-ABS(U14-K14)/K14)*100%</f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2:41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4">H15-G15</f>
        <v>0.94930555555038154</v>
      </c>
      <c r="P15" s="4">
        <f t="shared" ref="P15" si="25">O15</f>
        <v>0.94930555555038154</v>
      </c>
      <c r="Q15" s="5">
        <f t="shared" ref="Q15" si="26">I15-J15</f>
        <v>2.3999999999999986</v>
      </c>
      <c r="R15" s="1">
        <f t="shared" ref="R15" si="27">(F15-E15)/0.9982</f>
        <v>0</v>
      </c>
      <c r="S15" s="5">
        <f t="shared" si="4"/>
        <v>2.3732638888759539</v>
      </c>
      <c r="U15" s="1">
        <f>Q15*1440/1367</f>
        <v>2.5281638624725664</v>
      </c>
      <c r="V15" s="7">
        <f t="shared" ref="V15" si="28">(1-ABS(U15-K15)/K15)*100%</f>
        <v>0.98873445501097346</v>
      </c>
    </row>
    <row r="16" spans="2:41" x14ac:dyDescent="0.3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9">H16-G16</f>
        <v>3.9437499999985448</v>
      </c>
      <c r="P16" s="4">
        <f t="shared" ref="P16" si="30">O16</f>
        <v>3.9437499999985448</v>
      </c>
      <c r="Q16" s="5">
        <f t="shared" ref="Q16" si="31">I16-J16</f>
        <v>10.45</v>
      </c>
      <c r="R16" s="1">
        <f t="shared" ref="R16" si="32">(F16-E16)/0.9982</f>
        <v>0</v>
      </c>
      <c r="S16" s="5">
        <f t="shared" si="4"/>
        <v>9.859374999996362</v>
      </c>
      <c r="U16" s="1">
        <f>Q16*1440/5679</f>
        <v>2.6497622820919173</v>
      </c>
      <c r="V16" s="7">
        <f t="shared" ref="V16" si="33">(1-ABS(U16-K16)/K16)*100%</f>
        <v>0.94009508716323309</v>
      </c>
    </row>
    <row r="17" spans="2:36" x14ac:dyDescent="0.3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4">H17-G17</f>
        <v>2.9944444444481633</v>
      </c>
      <c r="P17" s="4">
        <f t="shared" ref="P17" si="35">O17</f>
        <v>2.9944444444481633</v>
      </c>
      <c r="Q17" s="5">
        <f t="shared" ref="Q17" si="36">I17-J17</f>
        <v>8.0500000000000007</v>
      </c>
      <c r="R17" s="1">
        <f t="shared" ref="R17" si="37">(F17-E17)/0.9982</f>
        <v>0</v>
      </c>
      <c r="S17" s="5">
        <f t="shared" si="4"/>
        <v>7.4861111111204082</v>
      </c>
      <c r="U17" s="1">
        <f>Q17*1440/4312</f>
        <v>2.6883116883116887</v>
      </c>
      <c r="V17" s="7">
        <f t="shared" ref="V17" si="38">(1-ABS(U17-K17)/K17)*100%</f>
        <v>0.92467532467532454</v>
      </c>
    </row>
    <row r="18" spans="2:36" x14ac:dyDescent="0.35">
      <c r="B18">
        <v>15</v>
      </c>
      <c r="C18">
        <v>286</v>
      </c>
      <c r="D18">
        <v>159</v>
      </c>
      <c r="E18">
        <v>0</v>
      </c>
      <c r="F18">
        <v>0</v>
      </c>
      <c r="G18" s="6">
        <v>45880.736805555556</v>
      </c>
      <c r="H18" s="6">
        <v>45881.38958333333</v>
      </c>
      <c r="I18">
        <v>11.65</v>
      </c>
      <c r="J18">
        <v>10.1</v>
      </c>
      <c r="K18">
        <v>2.5</v>
      </c>
      <c r="L18">
        <v>74</v>
      </c>
      <c r="O18" s="3">
        <f t="shared" ref="O18" si="39">H18-G18</f>
        <v>0.65277777777373558</v>
      </c>
      <c r="P18" s="4">
        <f t="shared" ref="P18" si="40">O18</f>
        <v>0.65277777777373558</v>
      </c>
      <c r="Q18" s="5">
        <f t="shared" ref="Q18" si="41">I18-J18</f>
        <v>1.5500000000000007</v>
      </c>
      <c r="R18" s="1">
        <f t="shared" ref="R18" si="42">(F18-E18)/0.9982</f>
        <v>0</v>
      </c>
      <c r="S18" s="5">
        <f t="shared" si="4"/>
        <v>1.6319444444343389</v>
      </c>
      <c r="U18" s="1">
        <f>Q18*1440/940</f>
        <v>2.374468085106384</v>
      </c>
      <c r="V18" s="7">
        <f t="shared" ref="V18" si="43">(1-ABS(U18-K18)/K18)*100%</f>
        <v>0.94978723404255361</v>
      </c>
    </row>
    <row r="19" spans="2:36" x14ac:dyDescent="0.35">
      <c r="B19">
        <v>16</v>
      </c>
      <c r="C19">
        <v>286</v>
      </c>
      <c r="D19">
        <v>159</v>
      </c>
      <c r="E19">
        <v>0</v>
      </c>
      <c r="F19">
        <v>0</v>
      </c>
      <c r="G19" s="6">
        <v>45880.736805555556</v>
      </c>
      <c r="H19" s="6">
        <v>45882.484027777777</v>
      </c>
      <c r="I19">
        <v>11.65</v>
      </c>
      <c r="J19">
        <v>7.5</v>
      </c>
      <c r="K19">
        <v>2.5</v>
      </c>
      <c r="O19" s="3">
        <f t="shared" ref="O19" si="44">H19-G19</f>
        <v>1.7472222222204437</v>
      </c>
      <c r="P19" s="4">
        <f t="shared" ref="P19" si="45">O19</f>
        <v>1.7472222222204437</v>
      </c>
      <c r="Q19" s="5">
        <f t="shared" ref="Q19" si="46">I19-J19</f>
        <v>4.1500000000000004</v>
      </c>
      <c r="R19" s="1">
        <f t="shared" ref="R19" si="47">(F19-E19)/0.9982</f>
        <v>0</v>
      </c>
      <c r="S19" s="5">
        <f>K19*P19</f>
        <v>4.3680555555511091</v>
      </c>
      <c r="U19" s="1">
        <f>Q19*1440/2516</f>
        <v>2.375198728139905</v>
      </c>
      <c r="V19" s="7">
        <f t="shared" ref="V19" si="48">(1-ABS(U19-K19)/K19)*100%</f>
        <v>0.95007949125596203</v>
      </c>
    </row>
    <row r="20" spans="2:36" x14ac:dyDescent="0.35">
      <c r="B20">
        <v>17</v>
      </c>
      <c r="C20">
        <v>286</v>
      </c>
      <c r="D20">
        <v>159</v>
      </c>
      <c r="E20">
        <v>0</v>
      </c>
      <c r="F20">
        <v>0</v>
      </c>
      <c r="G20" s="6">
        <v>45882.546527777777</v>
      </c>
      <c r="H20" s="6">
        <v>45883.46597222222</v>
      </c>
      <c r="I20">
        <v>7.45</v>
      </c>
      <c r="J20">
        <v>5.2</v>
      </c>
      <c r="K20">
        <v>2.5</v>
      </c>
      <c r="L20">
        <v>77.150000000000006</v>
      </c>
      <c r="O20" s="3">
        <f t="shared" ref="O20" si="49">H20-G20</f>
        <v>0.91944444444379769</v>
      </c>
      <c r="P20" s="4">
        <f t="shared" ref="P20" si="50">O20</f>
        <v>0.91944444444379769</v>
      </c>
      <c r="Q20" s="5">
        <f t="shared" ref="Q20" si="51">I20-J20</f>
        <v>2.25</v>
      </c>
      <c r="R20" s="1">
        <f t="shared" ref="R20" si="52">(F20-E20)/0.9982</f>
        <v>0</v>
      </c>
      <c r="S20" s="5">
        <f>K20*P20</f>
        <v>2.2986111111094942</v>
      </c>
      <c r="U20" s="1">
        <f>Q20*1440/1324</f>
        <v>2.4471299093655587</v>
      </c>
      <c r="V20" s="7">
        <f t="shared" ref="V20" si="53">(1-ABS(U20-K20)/K20)*100%</f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2:36" x14ac:dyDescent="0.35">
      <c r="B21">
        <v>18</v>
      </c>
      <c r="C21">
        <v>286</v>
      </c>
      <c r="D21">
        <v>159</v>
      </c>
      <c r="E21">
        <v>0</v>
      </c>
      <c r="F21">
        <v>0</v>
      </c>
      <c r="G21" s="6">
        <v>45883.520833333336</v>
      </c>
      <c r="H21" s="6">
        <v>45883.713194444441</v>
      </c>
      <c r="I21">
        <v>5</v>
      </c>
      <c r="J21">
        <v>4.55</v>
      </c>
      <c r="K21">
        <v>2.5</v>
      </c>
      <c r="L21" t="s">
        <v>20</v>
      </c>
      <c r="O21" s="3">
        <f t="shared" ref="O21" si="54">H21-G21</f>
        <v>0.19236111110512866</v>
      </c>
      <c r="P21" s="4">
        <f t="shared" ref="P21" si="55">O21</f>
        <v>0.19236111110512866</v>
      </c>
      <c r="Q21" s="5">
        <f t="shared" ref="Q21" si="56">I21-J21</f>
        <v>0.45000000000000018</v>
      </c>
      <c r="R21" s="1">
        <f t="shared" ref="R21" si="57">(F21-E21)/0.9982</f>
        <v>0</v>
      </c>
      <c r="S21" s="5">
        <f>K21*P21</f>
        <v>0.48090277776282164</v>
      </c>
      <c r="U21" s="1">
        <f>Q21*1440/277</f>
        <v>2.339350180505416</v>
      </c>
      <c r="V21" s="7">
        <f t="shared" ref="V21" si="58">(1-ABS(U21-K21)/K21)*100%</f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2:36" x14ac:dyDescent="0.35">
      <c r="B22">
        <v>19</v>
      </c>
      <c r="C22">
        <v>286</v>
      </c>
      <c r="D22">
        <v>159</v>
      </c>
      <c r="E22">
        <v>0</v>
      </c>
      <c r="F22">
        <v>0</v>
      </c>
      <c r="G22" s="6">
        <v>45887.504166666666</v>
      </c>
      <c r="H22" s="6">
        <v>45888.709722222222</v>
      </c>
      <c r="I22">
        <v>11.9</v>
      </c>
      <c r="J22">
        <v>9</v>
      </c>
      <c r="K22">
        <v>2.5</v>
      </c>
      <c r="O22" s="3">
        <f t="shared" ref="O22" si="59">H22-G22</f>
        <v>1.2055555555562023</v>
      </c>
      <c r="P22" s="4">
        <f t="shared" ref="P22" si="60">O22</f>
        <v>1.2055555555562023</v>
      </c>
      <c r="Q22" s="5">
        <f t="shared" ref="Q22" si="61">I22-J22</f>
        <v>2.9000000000000004</v>
      </c>
      <c r="R22" s="1">
        <f t="shared" ref="R22" si="62">(F22-E22)/0.9982</f>
        <v>0</v>
      </c>
      <c r="S22" s="5">
        <f>K22*P22</f>
        <v>3.0138888888905058</v>
      </c>
      <c r="U22" s="1">
        <f>Q22*1440/1736</f>
        <v>2.4055299539170512</v>
      </c>
      <c r="V22" s="7">
        <f t="shared" ref="V22" si="63">(1-ABS(U22-K22)/K22)*100%</f>
        <v>0.96221198156682042</v>
      </c>
    </row>
    <row r="23" spans="2:36" x14ac:dyDescent="0.35">
      <c r="B23">
        <v>20</v>
      </c>
      <c r="C23">
        <v>286</v>
      </c>
      <c r="D23">
        <v>159</v>
      </c>
      <c r="E23">
        <v>0</v>
      </c>
      <c r="F23">
        <v>0</v>
      </c>
      <c r="G23" s="6">
        <v>45888.709722222222</v>
      </c>
      <c r="H23" s="6">
        <v>45889.46597222222</v>
      </c>
      <c r="I23">
        <v>9</v>
      </c>
      <c r="J23">
        <v>7.2</v>
      </c>
      <c r="K23">
        <v>2.5</v>
      </c>
      <c r="O23" s="3">
        <f t="shared" ref="O23:O24" si="64">H23-G23</f>
        <v>0.75624999999854481</v>
      </c>
      <c r="P23" s="4">
        <f t="shared" ref="P23:P24" si="65">O23</f>
        <v>0.75624999999854481</v>
      </c>
      <c r="Q23" s="5">
        <f t="shared" ref="Q23:Q24" si="66">I23-J23</f>
        <v>1.7999999999999998</v>
      </c>
      <c r="R23" s="1">
        <f t="shared" ref="R23:R24" si="67">(F23-E23)/0.9982</f>
        <v>0</v>
      </c>
      <c r="S23" s="5">
        <f t="shared" ref="S23:S24" si="68">K23*P23</f>
        <v>1.890624999996362</v>
      </c>
      <c r="U23" s="1">
        <f>Q23*1440/1089</f>
        <v>2.380165289256198</v>
      </c>
      <c r="V23" s="7">
        <f t="shared" ref="V23:V24" si="69">(1-ABS(U23-K23)/K23)*100%</f>
        <v>0.95206611570247923</v>
      </c>
    </row>
    <row r="24" spans="2:36" x14ac:dyDescent="0.35">
      <c r="B24">
        <v>21</v>
      </c>
      <c r="C24">
        <v>286</v>
      </c>
      <c r="D24">
        <v>159</v>
      </c>
      <c r="E24">
        <v>0</v>
      </c>
      <c r="F24">
        <v>0</v>
      </c>
      <c r="G24" s="6">
        <v>45887.504166666666</v>
      </c>
      <c r="H24" s="6">
        <v>45889.606944444444</v>
      </c>
      <c r="I24">
        <v>11.9</v>
      </c>
      <c r="J24">
        <v>6.8</v>
      </c>
      <c r="K24">
        <v>2.5</v>
      </c>
      <c r="O24" s="3">
        <f t="shared" si="64"/>
        <v>2.1027777777781012</v>
      </c>
      <c r="P24" s="4">
        <f t="shared" si="65"/>
        <v>2.1027777777781012</v>
      </c>
      <c r="Q24" s="5">
        <f t="shared" si="66"/>
        <v>5.1000000000000005</v>
      </c>
      <c r="R24" s="1">
        <f t="shared" si="67"/>
        <v>0</v>
      </c>
      <c r="S24" s="5">
        <f t="shared" si="68"/>
        <v>5.2569444444452529</v>
      </c>
      <c r="U24" s="1">
        <f>Q24*1440/3028</f>
        <v>2.4253632760898287</v>
      </c>
      <c r="V24" s="7">
        <f t="shared" si="69"/>
        <v>0.97014531043593144</v>
      </c>
    </row>
    <row r="25" spans="2:36" x14ac:dyDescent="0.35">
      <c r="B25">
        <v>22</v>
      </c>
      <c r="C25">
        <v>286</v>
      </c>
      <c r="D25">
        <v>159</v>
      </c>
      <c r="E25">
        <v>0</v>
      </c>
      <c r="F25">
        <v>0</v>
      </c>
      <c r="G25" s="6">
        <v>45889.631249999999</v>
      </c>
      <c r="H25" s="6">
        <v>45890.431250000001</v>
      </c>
      <c r="I25">
        <v>6.8</v>
      </c>
      <c r="J25">
        <v>4.9000000000000004</v>
      </c>
      <c r="K25">
        <v>2.5</v>
      </c>
      <c r="O25" s="3">
        <f t="shared" ref="O25" si="70">H25-G25</f>
        <v>0.80000000000291038</v>
      </c>
      <c r="P25" s="4">
        <f t="shared" ref="P25" si="71">O25</f>
        <v>0.80000000000291038</v>
      </c>
      <c r="Q25" s="5">
        <f t="shared" ref="Q25" si="72">I25-J25</f>
        <v>1.8999999999999995</v>
      </c>
      <c r="R25" s="1">
        <f t="shared" ref="R25" si="73">(F25-E25)/0.9982</f>
        <v>0</v>
      </c>
      <c r="S25" s="5">
        <f t="shared" ref="S25" si="74">K25*P25</f>
        <v>2.000000000007276</v>
      </c>
      <c r="U25" s="1">
        <f>Q25*1440/1152</f>
        <v>2.3749999999999991</v>
      </c>
      <c r="V25" s="7">
        <f t="shared" ref="V25" si="75">(1-ABS(U25-K25)/K25)*100%</f>
        <v>0.94999999999999962</v>
      </c>
    </row>
    <row r="26" spans="2:36" x14ac:dyDescent="0.35">
      <c r="B26">
        <v>23</v>
      </c>
      <c r="C26">
        <v>286</v>
      </c>
      <c r="D26">
        <v>159</v>
      </c>
      <c r="E26">
        <v>0</v>
      </c>
      <c r="F26">
        <v>0</v>
      </c>
      <c r="G26" s="6">
        <v>45887.504166666666</v>
      </c>
      <c r="H26" s="6">
        <v>45890.406944444447</v>
      </c>
      <c r="I26">
        <v>11.9</v>
      </c>
      <c r="J26">
        <v>4.9000000000000004</v>
      </c>
      <c r="K26">
        <v>2.5</v>
      </c>
      <c r="O26" s="3">
        <f t="shared" ref="O26" si="76">H26-G26</f>
        <v>2.9027777777810115</v>
      </c>
      <c r="P26" s="4">
        <f t="shared" ref="P26" si="77">O26</f>
        <v>2.9027777777810115</v>
      </c>
      <c r="Q26" s="5">
        <f t="shared" ref="Q26" si="78">I26-J26</f>
        <v>7</v>
      </c>
      <c r="R26" s="1">
        <f t="shared" ref="R26" si="79">(F26-E26)/0.9982</f>
        <v>0</v>
      </c>
      <c r="S26" s="5">
        <f t="shared" ref="S26" si="80">K26*P26</f>
        <v>7.2569444444525288</v>
      </c>
      <c r="U26" s="1">
        <f>Q26*1440/4180</f>
        <v>2.4114832535885169</v>
      </c>
      <c r="V26" s="7">
        <f t="shared" ref="V26" si="81">(1-ABS(U26-K26)/K26)*100%</f>
        <v>0.96459330143540678</v>
      </c>
    </row>
    <row r="27" spans="2:36" x14ac:dyDescent="0.35">
      <c r="B27">
        <v>24</v>
      </c>
      <c r="E27">
        <v>0</v>
      </c>
      <c r="F27">
        <v>0</v>
      </c>
      <c r="G27" s="6">
        <v>45890.59375</v>
      </c>
      <c r="H27" s="6">
        <v>45891.509722222225</v>
      </c>
      <c r="I27">
        <v>11.95</v>
      </c>
      <c r="J27">
        <v>10.7</v>
      </c>
      <c r="K27">
        <v>2.5</v>
      </c>
      <c r="O27" s="3">
        <f t="shared" ref="O27:O28" si="82">H27-G27</f>
        <v>0.91597222222480923</v>
      </c>
      <c r="P27" s="4">
        <f t="shared" ref="P27:P28" si="83">O27</f>
        <v>0.91597222222480923</v>
      </c>
      <c r="Q27" s="5">
        <f t="shared" ref="Q27:Q28" si="84">I27-J27</f>
        <v>1.25</v>
      </c>
      <c r="R27" s="1">
        <f t="shared" ref="R27:R28" si="85">(F27-E27)/0.9982</f>
        <v>0</v>
      </c>
      <c r="S27" s="5">
        <f t="shared" ref="S27:S28" si="86">K27*P27</f>
        <v>2.2899305555620231</v>
      </c>
      <c r="U27" s="1">
        <f>Q27*1440/1319</f>
        <v>1.3646702047005308</v>
      </c>
      <c r="V27" s="7">
        <f t="shared" ref="V27:V28" si="87">(1-ABS(U27-K27)/K27)*100%</f>
        <v>0.5458680818802123</v>
      </c>
    </row>
    <row r="28" spans="2:36" x14ac:dyDescent="0.35">
      <c r="B28">
        <v>25</v>
      </c>
      <c r="C28">
        <v>286</v>
      </c>
      <c r="D28">
        <v>159</v>
      </c>
      <c r="E28">
        <v>0</v>
      </c>
      <c r="F28">
        <v>0</v>
      </c>
      <c r="G28" s="6">
        <v>45890.595833333333</v>
      </c>
      <c r="H28" s="6">
        <v>45891.509027777778</v>
      </c>
      <c r="I28">
        <v>4.9000000000000004</v>
      </c>
      <c r="J28">
        <v>2.85</v>
      </c>
      <c r="K28">
        <v>2.5</v>
      </c>
      <c r="O28" s="3">
        <f t="shared" si="82"/>
        <v>0.91319444444525288</v>
      </c>
      <c r="P28" s="4">
        <f t="shared" si="83"/>
        <v>0.91319444444525288</v>
      </c>
      <c r="Q28" s="5">
        <f t="shared" si="84"/>
        <v>2.0500000000000003</v>
      </c>
      <c r="R28" s="1">
        <f t="shared" si="85"/>
        <v>0</v>
      </c>
      <c r="S28" s="5">
        <f t="shared" si="86"/>
        <v>2.2829861111131322</v>
      </c>
      <c r="U28" s="1">
        <f>Q28*1440/1315</f>
        <v>2.2448669201520914</v>
      </c>
      <c r="V28" s="7">
        <f t="shared" si="87"/>
        <v>0.89794676806083662</v>
      </c>
    </row>
    <row r="29" spans="2:36" x14ac:dyDescent="0.35">
      <c r="B29">
        <v>26</v>
      </c>
      <c r="E29">
        <v>0</v>
      </c>
      <c r="F29">
        <v>0</v>
      </c>
      <c r="G29" s="6">
        <v>45891.552083333336</v>
      </c>
      <c r="H29" s="6">
        <v>45891.629861111112</v>
      </c>
      <c r="I29">
        <v>10.5</v>
      </c>
      <c r="J29">
        <v>9.3000000000000007</v>
      </c>
      <c r="K29">
        <v>25</v>
      </c>
      <c r="L29" t="s">
        <v>20</v>
      </c>
      <c r="O29" s="3">
        <f t="shared" ref="O29" si="88">H29-G29</f>
        <v>7.7777777776645962E-2</v>
      </c>
      <c r="P29" s="4">
        <f t="shared" ref="P29" si="89">O29</f>
        <v>7.7777777776645962E-2</v>
      </c>
      <c r="Q29" s="5">
        <f t="shared" ref="Q29" si="90">I29-J29</f>
        <v>1.1999999999999993</v>
      </c>
      <c r="R29" s="1">
        <f t="shared" ref="R29" si="91">(F29-E29)/0.9982</f>
        <v>0</v>
      </c>
      <c r="S29" s="5">
        <f t="shared" ref="S29" si="92">K29*P29</f>
        <v>1.9444444444161491</v>
      </c>
      <c r="U29" s="1">
        <f>Q29*1440/112</f>
        <v>15.42857142857142</v>
      </c>
      <c r="V29" s="7">
        <f t="shared" ref="V29" si="93">(1-ABS(U29-K29)/K29)*100%</f>
        <v>0.61714285714285677</v>
      </c>
    </row>
    <row r="30" spans="2:36" x14ac:dyDescent="0.35">
      <c r="G30" s="6"/>
      <c r="H30" s="6"/>
      <c r="O30" s="3"/>
      <c r="P30" s="4"/>
      <c r="Q30" s="5"/>
      <c r="R30" s="1"/>
      <c r="S30" s="5"/>
      <c r="U30" s="1"/>
      <c r="V30" s="7"/>
    </row>
  </sheetData>
  <conditionalFormatting sqref="V4:V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3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2025-08-25T12:17:04Z</dcterms:modified>
</cp:coreProperties>
</file>