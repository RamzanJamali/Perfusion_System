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4E4DB786-4258-4AEC-B0F6-B9C89C1BB575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5" i="1" l="1"/>
  <c r="O15" i="1"/>
  <c r="P15" i="1" s="1"/>
  <c r="Q15" i="1"/>
  <c r="R15" i="1"/>
  <c r="U14" i="1"/>
  <c r="O14" i="1"/>
  <c r="P14" i="1" s="1"/>
  <c r="Q14" i="1"/>
  <c r="R14" i="1"/>
  <c r="O13" i="1"/>
  <c r="P13" i="1" s="1"/>
  <c r="Q13" i="1"/>
  <c r="U13" i="1" s="1"/>
  <c r="R13" i="1"/>
  <c r="U12" i="1"/>
  <c r="O12" i="1"/>
  <c r="P12" i="1" s="1"/>
  <c r="Q12" i="1"/>
  <c r="R12" i="1"/>
  <c r="V5" i="1"/>
  <c r="V6" i="1"/>
  <c r="V7" i="1"/>
  <c r="V8" i="1"/>
  <c r="V9" i="1"/>
  <c r="V10" i="1"/>
  <c r="V11" i="1"/>
  <c r="V4" i="1"/>
  <c r="U11" i="1"/>
  <c r="O11" i="1"/>
  <c r="P11" i="1" s="1"/>
  <c r="Q11" i="1"/>
  <c r="R11" i="1"/>
  <c r="U10" i="1"/>
  <c r="O10" i="1"/>
  <c r="P10" i="1" s="1"/>
  <c r="Q10" i="1"/>
  <c r="R10" i="1"/>
  <c r="V15" i="1" l="1"/>
  <c r="V14" i="1"/>
  <c r="V13" i="1"/>
  <c r="V12" i="1"/>
  <c r="U9" i="1"/>
  <c r="O9" i="1"/>
  <c r="P9" i="1" s="1"/>
  <c r="Q9" i="1"/>
  <c r="R9" i="1"/>
  <c r="U8" i="1"/>
  <c r="O8" i="1"/>
  <c r="P8" i="1" s="1"/>
  <c r="Q8" i="1"/>
  <c r="R8" i="1"/>
  <c r="U7" i="1"/>
  <c r="O7" i="1"/>
  <c r="P7" i="1"/>
  <c r="Q7" i="1"/>
  <c r="R7" i="1"/>
  <c r="U6" i="1"/>
  <c r="O6" i="1"/>
  <c r="P6" i="1" s="1"/>
  <c r="Q6" i="1"/>
  <c r="R6" i="1"/>
  <c r="U5" i="1"/>
  <c r="U4" i="1"/>
  <c r="Q5" i="1"/>
  <c r="R5" i="1"/>
  <c r="O5" i="1"/>
  <c r="P5" i="1" s="1"/>
  <c r="O4" i="1"/>
  <c r="P4" i="1" s="1"/>
  <c r="R4" i="1"/>
  <c r="Q4" i="1"/>
</calcChain>
</file>

<file path=xl/sharedStrings.xml><?xml version="1.0" encoding="utf-8"?>
<sst xmlns="http://schemas.openxmlformats.org/spreadsheetml/2006/main" count="19" uniqueCount="19">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</sst>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5B9BD5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B3:L16" totalsRowShown="0">
  <autoFilter ref="B3:L16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6"/>
    <tableColumn id="7" xr3:uid="{1D3E761D-6183-43C4-A343-C4E44D78FD50}" name="End_Time" dataDxfId="5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O3:R7" totalsRowShown="0">
  <autoFilter ref="O3:R7" xr:uid="{AFA1B13B-2067-4436-91E8-CE7B0EC89831}"/>
  <tableColumns count="4">
    <tableColumn id="1" xr3:uid="{97463821-DEE2-4F42-AC00-A7A61AC07CE0}" name="Duration" dataDxfId="4">
      <calculatedColumnFormula>H4-G4</calculatedColumnFormula>
    </tableColumn>
    <tableColumn id="4" xr3:uid="{052C2071-850E-42F5-A26B-889DB58815C3}" name="Duration in Min" dataDxfId="3">
      <calculatedColumnFormula>O4</calculatedColumnFormula>
    </tableColumn>
    <tableColumn id="2" xr3:uid="{D45938C1-DA43-4572-97E8-35C0F3958EB1}" name="Volume by Syringe">
      <calculatedColumnFormula>I4-J4</calculatedColumnFormula>
    </tableColumn>
    <tableColumn id="3" xr3:uid="{CE281EF5-AD90-4E03-8914-DD9A9D900FAD}" name="Volume by Weight" dataDxfId="2">
      <calculatedColumnFormula>(F4-E4)/0.9982</calculatedColumnFormula>
    </tableColumn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U3:V11" totalsRowShown="0">
  <autoFilter ref="U3:V11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(1-ABS(U4-K4)/K4)*100%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V16"/>
  <sheetViews>
    <sheetView tabSelected="1" workbookViewId="0">
      <selection activeCell="V16" sqref="V16"/>
    </sheetView>
  </sheetViews>
  <sheetFormatPr defaultRowHeight="14.5" x14ac:dyDescent="0.35"/>
  <cols>
    <col min="2" max="2" width="10.36328125" customWidth="1"/>
    <col min="3" max="4" width="12.08984375" customWidth="1"/>
    <col min="5" max="5" width="16.7265625" customWidth="1"/>
    <col min="6" max="6" width="15.1796875" customWidth="1"/>
    <col min="7" max="7" width="21.7265625" customWidth="1"/>
    <col min="8" max="8" width="22.08984375" customWidth="1"/>
    <col min="9" max="9" width="18.90625" customWidth="1"/>
    <col min="10" max="10" width="18.36328125" customWidth="1"/>
    <col min="11" max="11" width="20.6328125" customWidth="1"/>
    <col min="12" max="12" width="23.453125" customWidth="1"/>
    <col min="15" max="15" width="12.453125" customWidth="1"/>
    <col min="16" max="16" width="16.7265625" customWidth="1"/>
    <col min="17" max="17" width="19.54296875" customWidth="1"/>
    <col min="18" max="18" width="19.7265625" customWidth="1"/>
    <col min="19" max="19" width="19.81640625" customWidth="1"/>
    <col min="21" max="21" width="11.54296875" customWidth="1"/>
    <col min="22" max="22" width="10.6328125" customWidth="1"/>
  </cols>
  <sheetData>
    <row r="3" spans="2:22" x14ac:dyDescent="0.3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13</v>
      </c>
      <c r="J3" t="s">
        <v>14</v>
      </c>
      <c r="K3" t="s">
        <v>15</v>
      </c>
      <c r="L3" t="s">
        <v>7</v>
      </c>
      <c r="O3" t="s">
        <v>9</v>
      </c>
      <c r="P3" t="s">
        <v>12</v>
      </c>
      <c r="Q3" t="s">
        <v>10</v>
      </c>
      <c r="R3" t="s">
        <v>11</v>
      </c>
      <c r="U3" t="s">
        <v>16</v>
      </c>
      <c r="V3" t="s">
        <v>18</v>
      </c>
    </row>
    <row r="4" spans="2:22" x14ac:dyDescent="0.35">
      <c r="B4">
        <v>1</v>
      </c>
      <c r="C4">
        <v>282</v>
      </c>
      <c r="D4">
        <v>156</v>
      </c>
      <c r="E4">
        <v>14.89</v>
      </c>
      <c r="F4">
        <v>15.89</v>
      </c>
      <c r="G4" s="2">
        <v>45867.731944444444</v>
      </c>
      <c r="H4" s="2">
        <v>45868.256249999999</v>
      </c>
      <c r="I4">
        <v>11.75</v>
      </c>
      <c r="J4">
        <v>10.65</v>
      </c>
      <c r="K4">
        <v>2.5</v>
      </c>
      <c r="L4" t="s">
        <v>8</v>
      </c>
      <c r="O4" s="3">
        <f t="shared" ref="O4:O11" si="0">H4-G4</f>
        <v>0.52430555555474712</v>
      </c>
      <c r="P4" s="4">
        <f t="shared" ref="P4:P11" si="1">O4</f>
        <v>0.52430555555474712</v>
      </c>
      <c r="Q4" s="5">
        <f t="shared" ref="Q4:Q11" si="2">I4-J4</f>
        <v>1.0999999999999996</v>
      </c>
      <c r="R4" s="1">
        <f t="shared" ref="R4:R11" si="3">(F4-E4)/0.9982</f>
        <v>1.0018032458425166</v>
      </c>
      <c r="T4" s="5"/>
      <c r="U4" s="1">
        <f>Q4*1440/755</f>
        <v>2.0980132450331119</v>
      </c>
      <c r="V4" s="7">
        <f>(1-ABS(U4-K4)/K4)*100%</f>
        <v>0.83920529801324473</v>
      </c>
    </row>
    <row r="5" spans="2:22" x14ac:dyDescent="0.35">
      <c r="B5">
        <v>2</v>
      </c>
      <c r="C5">
        <v>290</v>
      </c>
      <c r="D5">
        <v>163</v>
      </c>
      <c r="E5">
        <v>4.38</v>
      </c>
      <c r="F5">
        <v>4.68</v>
      </c>
      <c r="G5" s="2">
        <v>45868.517361111109</v>
      </c>
      <c r="H5" s="2">
        <v>45868.688888888886</v>
      </c>
      <c r="I5">
        <v>10.65</v>
      </c>
      <c r="J5">
        <v>10.25</v>
      </c>
      <c r="K5">
        <v>2.5</v>
      </c>
      <c r="O5" s="3">
        <f t="shared" si="0"/>
        <v>0.17152777777664596</v>
      </c>
      <c r="P5" s="4">
        <f t="shared" si="1"/>
        <v>0.17152777777664596</v>
      </c>
      <c r="Q5" s="5">
        <f t="shared" si="2"/>
        <v>0.40000000000000036</v>
      </c>
      <c r="R5" s="1">
        <f t="shared" si="3"/>
        <v>0.30054097375275479</v>
      </c>
      <c r="U5" s="1">
        <f>Q5*1440/247</f>
        <v>2.3319838056680182</v>
      </c>
      <c r="V5" s="7">
        <f t="shared" ref="V5:V11" si="4">(1-ABS(U5-K5)/K5)*100%</f>
        <v>0.93279352226720724</v>
      </c>
    </row>
    <row r="6" spans="2:22" x14ac:dyDescent="0.35">
      <c r="B6">
        <v>3</v>
      </c>
      <c r="C6">
        <v>290</v>
      </c>
      <c r="D6">
        <v>163</v>
      </c>
      <c r="E6">
        <v>4.68</v>
      </c>
      <c r="F6">
        <v>6.13</v>
      </c>
      <c r="G6" s="2">
        <v>45868.693055555559</v>
      </c>
      <c r="H6" s="2">
        <v>45869.431250000001</v>
      </c>
      <c r="I6">
        <v>10.25</v>
      </c>
      <c r="J6">
        <v>8.6</v>
      </c>
      <c r="K6">
        <v>2.5</v>
      </c>
      <c r="O6" s="3">
        <f t="shared" si="0"/>
        <v>0.7381944444423425</v>
      </c>
      <c r="P6" s="4">
        <f t="shared" si="1"/>
        <v>0.7381944444423425</v>
      </c>
      <c r="Q6" s="5">
        <f t="shared" si="2"/>
        <v>1.6500000000000004</v>
      </c>
      <c r="R6" s="1">
        <f t="shared" si="3"/>
        <v>1.4526147064716493</v>
      </c>
      <c r="U6" s="1">
        <f>Q6*1440/1052</f>
        <v>2.2585551330798483</v>
      </c>
      <c r="V6" s="7">
        <f t="shared" si="4"/>
        <v>0.90342205323193936</v>
      </c>
    </row>
    <row r="7" spans="2:22" x14ac:dyDescent="0.35">
      <c r="B7">
        <v>4</v>
      </c>
      <c r="C7">
        <v>290</v>
      </c>
      <c r="D7">
        <v>163</v>
      </c>
      <c r="E7">
        <v>0</v>
      </c>
      <c r="F7">
        <v>0</v>
      </c>
      <c r="G7" s="6">
        <v>45869.445138888892</v>
      </c>
      <c r="H7" s="6">
        <v>45869.492361111108</v>
      </c>
      <c r="I7">
        <v>8.6</v>
      </c>
      <c r="J7">
        <v>7.6</v>
      </c>
      <c r="K7">
        <v>25</v>
      </c>
      <c r="O7" s="3">
        <f t="shared" si="0"/>
        <v>4.722222221607808E-2</v>
      </c>
      <c r="P7" s="4">
        <f t="shared" si="1"/>
        <v>4.722222221607808E-2</v>
      </c>
      <c r="Q7" s="5">
        <f t="shared" si="2"/>
        <v>1</v>
      </c>
      <c r="R7" s="1">
        <f t="shared" si="3"/>
        <v>0</v>
      </c>
      <c r="U7" s="1">
        <f>Q7*1440/68</f>
        <v>21.176470588235293</v>
      </c>
      <c r="V7" s="7">
        <f t="shared" si="4"/>
        <v>0.84705882352941175</v>
      </c>
    </row>
    <row r="8" spans="2:22" x14ac:dyDescent="0.35">
      <c r="B8">
        <v>5</v>
      </c>
      <c r="C8">
        <v>290</v>
      </c>
      <c r="D8">
        <v>163</v>
      </c>
      <c r="E8">
        <v>0</v>
      </c>
      <c r="F8">
        <v>0</v>
      </c>
      <c r="G8" s="6">
        <v>45869.502083333333</v>
      </c>
      <c r="H8" s="6">
        <v>45869.544444444444</v>
      </c>
      <c r="I8">
        <v>7.5</v>
      </c>
      <c r="J8">
        <v>6.55</v>
      </c>
      <c r="K8">
        <v>25</v>
      </c>
      <c r="L8" t="s">
        <v>17</v>
      </c>
      <c r="O8" s="3">
        <f t="shared" si="0"/>
        <v>4.2361111110949423E-2</v>
      </c>
      <c r="P8" s="4">
        <f t="shared" si="1"/>
        <v>4.2361111110949423E-2</v>
      </c>
      <c r="Q8" s="5">
        <f t="shared" si="2"/>
        <v>0.95000000000000018</v>
      </c>
      <c r="R8" s="1">
        <f t="shared" si="3"/>
        <v>0</v>
      </c>
      <c r="U8" s="1">
        <f>Q8*1440/61</f>
        <v>22.426229508196727</v>
      </c>
      <c r="V8" s="7">
        <f t="shared" si="4"/>
        <v>0.89704918032786907</v>
      </c>
    </row>
    <row r="9" spans="2:22" x14ac:dyDescent="0.35">
      <c r="B9">
        <v>6</v>
      </c>
      <c r="C9">
        <v>290</v>
      </c>
      <c r="D9">
        <v>163</v>
      </c>
      <c r="E9">
        <v>0</v>
      </c>
      <c r="F9">
        <v>0</v>
      </c>
      <c r="G9" s="6">
        <v>45869.55</v>
      </c>
      <c r="H9" s="6">
        <v>45869.642361111109</v>
      </c>
      <c r="I9">
        <v>6.55</v>
      </c>
      <c r="J9">
        <v>4</v>
      </c>
      <c r="K9">
        <v>25</v>
      </c>
      <c r="O9" s="3">
        <f t="shared" si="0"/>
        <v>9.2361111106583849E-2</v>
      </c>
      <c r="P9" s="4">
        <f t="shared" si="1"/>
        <v>9.2361111106583849E-2</v>
      </c>
      <c r="Q9" s="5">
        <f t="shared" si="2"/>
        <v>2.5499999999999998</v>
      </c>
      <c r="R9" s="1">
        <f t="shared" si="3"/>
        <v>0</v>
      </c>
      <c r="U9" s="1">
        <f>Q9*1440/133</f>
        <v>27.609022556390975</v>
      </c>
      <c r="V9" s="7">
        <f t="shared" si="4"/>
        <v>0.89563909774436101</v>
      </c>
    </row>
    <row r="10" spans="2:22" x14ac:dyDescent="0.35">
      <c r="B10">
        <v>7</v>
      </c>
      <c r="C10">
        <v>290</v>
      </c>
      <c r="D10">
        <v>163</v>
      </c>
      <c r="E10">
        <v>0</v>
      </c>
      <c r="F10">
        <v>0</v>
      </c>
      <c r="G10" s="6">
        <v>45869.643055555556</v>
      </c>
      <c r="H10" s="6">
        <v>45869.714583333334</v>
      </c>
      <c r="I10">
        <v>4</v>
      </c>
      <c r="J10">
        <v>2</v>
      </c>
      <c r="K10">
        <v>25</v>
      </c>
      <c r="O10" s="3">
        <f t="shared" si="0"/>
        <v>7.1527777778101154E-2</v>
      </c>
      <c r="P10" s="4">
        <f t="shared" si="1"/>
        <v>7.1527777778101154E-2</v>
      </c>
      <c r="Q10" s="5">
        <f t="shared" si="2"/>
        <v>2</v>
      </c>
      <c r="R10" s="1">
        <f t="shared" si="3"/>
        <v>0</v>
      </c>
      <c r="U10" s="1">
        <f>Q10*1440/103</f>
        <v>27.961165048543688</v>
      </c>
      <c r="V10" s="7">
        <f t="shared" si="4"/>
        <v>0.8815533980582525</v>
      </c>
    </row>
    <row r="11" spans="2:22" x14ac:dyDescent="0.35">
      <c r="B11">
        <v>8</v>
      </c>
      <c r="C11">
        <v>290</v>
      </c>
      <c r="D11">
        <v>163</v>
      </c>
      <c r="E11">
        <v>0</v>
      </c>
      <c r="F11">
        <v>0</v>
      </c>
      <c r="G11" s="6">
        <v>45869.759027777778</v>
      </c>
      <c r="H11" s="6">
        <v>45870.458333333336</v>
      </c>
      <c r="I11">
        <v>11.35</v>
      </c>
      <c r="J11">
        <v>9.6</v>
      </c>
      <c r="K11">
        <v>2.5</v>
      </c>
      <c r="O11" s="3">
        <f t="shared" si="0"/>
        <v>0.6993055555576575</v>
      </c>
      <c r="P11" s="4">
        <f t="shared" si="1"/>
        <v>0.6993055555576575</v>
      </c>
      <c r="Q11" s="5">
        <f t="shared" si="2"/>
        <v>1.75</v>
      </c>
      <c r="R11" s="1">
        <f t="shared" si="3"/>
        <v>0</v>
      </c>
      <c r="U11" s="1">
        <f>Q11*1440/1007</f>
        <v>2.5024826216484608</v>
      </c>
      <c r="V11" s="7">
        <f t="shared" si="4"/>
        <v>0.99900695134061568</v>
      </c>
    </row>
    <row r="12" spans="2:22" x14ac:dyDescent="0.35">
      <c r="B12">
        <v>9</v>
      </c>
      <c r="C12">
        <v>290</v>
      </c>
      <c r="D12">
        <v>163</v>
      </c>
      <c r="E12">
        <v>0</v>
      </c>
      <c r="F12">
        <v>0</v>
      </c>
      <c r="G12" s="6">
        <v>45870.459027777775</v>
      </c>
      <c r="H12" s="6">
        <v>45870.556944444441</v>
      </c>
      <c r="I12">
        <v>9.6</v>
      </c>
      <c r="J12">
        <v>7.15</v>
      </c>
      <c r="K12">
        <v>25</v>
      </c>
      <c r="O12" s="3">
        <f t="shared" ref="O12" si="5">H12-G12</f>
        <v>9.7916666665696539E-2</v>
      </c>
      <c r="P12" s="4">
        <f t="shared" ref="P12" si="6">O12</f>
        <v>9.7916666665696539E-2</v>
      </c>
      <c r="Q12" s="5">
        <f t="shared" ref="Q12" si="7">I12-J12</f>
        <v>2.4499999999999993</v>
      </c>
      <c r="R12" s="1">
        <f t="shared" ref="R12" si="8">(F12-E12)/0.9982</f>
        <v>0</v>
      </c>
      <c r="U12" s="1">
        <f>Q12*1440/141</f>
        <v>25.021276595744673</v>
      </c>
      <c r="V12" s="7">
        <f t="shared" ref="V12" si="9">(1-ABS(U12-K12)/K12)*100%</f>
        <v>0.99914893617021305</v>
      </c>
    </row>
    <row r="13" spans="2:22" x14ac:dyDescent="0.35">
      <c r="B13">
        <v>10</v>
      </c>
      <c r="C13">
        <v>290</v>
      </c>
      <c r="D13">
        <v>163</v>
      </c>
      <c r="E13">
        <v>0</v>
      </c>
      <c r="F13">
        <v>0</v>
      </c>
      <c r="G13" s="6">
        <v>45870.459027777775</v>
      </c>
      <c r="H13" s="6">
        <v>45870.604166666664</v>
      </c>
      <c r="I13">
        <v>9.6</v>
      </c>
      <c r="J13">
        <v>6</v>
      </c>
      <c r="K13">
        <v>25</v>
      </c>
      <c r="O13" s="3">
        <f t="shared" ref="O13" si="10">H13-G13</f>
        <v>0.14513888888905058</v>
      </c>
      <c r="P13" s="4">
        <f t="shared" ref="P13" si="11">O13</f>
        <v>0.14513888888905058</v>
      </c>
      <c r="Q13" s="5">
        <f t="shared" ref="Q13" si="12">I13-J13</f>
        <v>3.5999999999999996</v>
      </c>
      <c r="R13" s="1">
        <f t="shared" ref="R13" si="13">(F13-E13)/0.9982</f>
        <v>0</v>
      </c>
      <c r="U13" s="1">
        <f>Q13*1440/209</f>
        <v>24.803827751196167</v>
      </c>
      <c r="V13" s="7">
        <f t="shared" ref="V13" si="14">(1-ABS(U13-K13)/K13)*100%</f>
        <v>0.99215311004784668</v>
      </c>
    </row>
    <row r="14" spans="2:22" x14ac:dyDescent="0.35">
      <c r="B14">
        <v>11</v>
      </c>
      <c r="C14">
        <v>290</v>
      </c>
      <c r="D14">
        <v>163</v>
      </c>
      <c r="E14">
        <v>0</v>
      </c>
      <c r="F14">
        <v>0</v>
      </c>
      <c r="G14" s="6">
        <v>45870.60833333333</v>
      </c>
      <c r="H14" s="6">
        <v>45870.703472222223</v>
      </c>
      <c r="I14">
        <v>6</v>
      </c>
      <c r="J14">
        <v>5.48</v>
      </c>
      <c r="K14">
        <v>5</v>
      </c>
      <c r="O14" s="3">
        <f t="shared" ref="O14" si="15">H14-G14</f>
        <v>9.5138888893416151E-2</v>
      </c>
      <c r="P14" s="4">
        <f t="shared" ref="P14" si="16">O14</f>
        <v>9.5138888893416151E-2</v>
      </c>
      <c r="Q14" s="5">
        <f t="shared" ref="Q14" si="17">I14-J14</f>
        <v>0.51999999999999957</v>
      </c>
      <c r="R14" s="1">
        <f t="shared" ref="R14" si="18">(F14-E14)/0.9982</f>
        <v>0</v>
      </c>
      <c r="U14" s="1">
        <f>Q14*1440/137</f>
        <v>5.4656934306569296</v>
      </c>
      <c r="V14" s="7">
        <f t="shared" ref="V14" si="19">(1-ABS(U14-K14)/K14)*100%</f>
        <v>0.90686131386861413</v>
      </c>
    </row>
    <row r="15" spans="2:22" x14ac:dyDescent="0.35">
      <c r="B15">
        <v>12</v>
      </c>
      <c r="C15">
        <v>286</v>
      </c>
      <c r="D15">
        <v>159</v>
      </c>
      <c r="E15">
        <v>0</v>
      </c>
      <c r="F15">
        <v>0</v>
      </c>
      <c r="G15" s="6">
        <v>45876.647916666669</v>
      </c>
      <c r="H15" s="6">
        <v>45877.597222222219</v>
      </c>
      <c r="I15">
        <v>11.95</v>
      </c>
      <c r="J15">
        <v>9.5500000000000007</v>
      </c>
      <c r="K15">
        <v>2.5</v>
      </c>
      <c r="O15" s="3">
        <f t="shared" ref="O15" si="20">H15-G15</f>
        <v>0.94930555555038154</v>
      </c>
      <c r="P15" s="4">
        <f t="shared" ref="P15" si="21">O15</f>
        <v>0.94930555555038154</v>
      </c>
      <c r="Q15" s="5">
        <f t="shared" ref="Q15" si="22">I15-J15</f>
        <v>2.3999999999999986</v>
      </c>
      <c r="R15" s="1">
        <f t="shared" ref="R15" si="23">(F15-E15)/0.9982</f>
        <v>0</v>
      </c>
      <c r="U15" s="1">
        <f>Q15*1440/1367</f>
        <v>2.5281638624725664</v>
      </c>
      <c r="V15" s="7">
        <f t="shared" ref="V15" si="24">(1-ABS(U15-K15)/K15)*100%</f>
        <v>0.98873445501097346</v>
      </c>
    </row>
    <row r="16" spans="2:22" x14ac:dyDescent="0.35">
      <c r="G16" s="6"/>
      <c r="H16" s="6"/>
    </row>
  </sheetData>
  <conditionalFormatting sqref="V4:V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2025-08-08T13:07:33Z</dcterms:modified>
</cp:coreProperties>
</file>