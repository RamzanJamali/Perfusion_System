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Perfusion_System\"/>
    </mc:Choice>
  </mc:AlternateContent>
  <xr:revisionPtr revIDLastSave="0" documentId="13_ncr:1_{F82FFD19-5984-4FEE-9604-858D040CEFC2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1" l="1"/>
  <c r="P6" i="1"/>
  <c r="Q6" i="1"/>
  <c r="R6" i="1"/>
  <c r="U5" i="1"/>
  <c r="U4" i="1"/>
  <c r="Q5" i="1"/>
  <c r="R5" i="1"/>
  <c r="O5" i="1"/>
  <c r="P5" i="1" s="1"/>
  <c r="O4" i="1"/>
  <c r="P4" i="1" s="1"/>
  <c r="R4" i="1"/>
  <c r="Q4" i="1"/>
</calcChain>
</file>

<file path=xl/sharedStrings.xml><?xml version="1.0" encoding="utf-8"?>
<sst xmlns="http://schemas.openxmlformats.org/spreadsheetml/2006/main" count="17" uniqueCount="17">
  <si>
    <t>Raw_High</t>
  </si>
  <si>
    <t>Raw_Low</t>
  </si>
  <si>
    <t>Empty_Weight</t>
  </si>
  <si>
    <t>Final_Weight</t>
  </si>
  <si>
    <t>Start_Time</t>
  </si>
  <si>
    <t>End_Time</t>
  </si>
  <si>
    <t>Index</t>
  </si>
  <si>
    <t>Note</t>
  </si>
  <si>
    <t>Weight of the pipe was not included!</t>
  </si>
  <si>
    <t>Duration</t>
  </si>
  <si>
    <t>Volume by Syringe</t>
  </si>
  <si>
    <t>Volume by Weight</t>
  </si>
  <si>
    <t>Duration in Min</t>
  </si>
  <si>
    <t>Start_Volume (mL)</t>
  </si>
  <si>
    <t>End_Volume (mL)</t>
  </si>
  <si>
    <t>Flow_Rate (mL/Day)</t>
  </si>
  <si>
    <t>Flow-Rate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</si>
</sst>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0.000"/>
    <numFmt numFmtId="166" formatCode="m/d/yyyy\ h:mm:ss"/>
    <numFmt numFmtId="167" formatCode="[m]"/>
  </numFmts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rgb="FF5B9BD5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165" fontId="0" fillId="0" borderId="0" xfId="0" applyNumberFormat="1"/>
    <xf numFmtId="166" fontId="1" fillId="0" borderId="1" xfId="0" applyNumberFormat="1" applyFont="1" applyBorder="1"/>
    <xf numFmtId="46" fontId="2" fillId="0" borderId="0" xfId="0" applyNumberFormat="1" applyFont="1"/>
    <xf numFmtId="167" fontId="2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5">
    <dxf>
      <numFmt numFmtId="165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7" formatCode="[m]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1" formatCode="[h]:mm:ss"/>
    </dxf>
    <dxf>
      <numFmt numFmtId="164" formatCode="[$-F400]h:mm:ss\ AM/PM"/>
    </dxf>
    <dxf>
      <numFmt numFmtId="164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39537A-AD85-40E4-8132-CD746B4A4B1E}" name="Table1" displayName="Table1" ref="B3:L6" totalsRowShown="0">
  <autoFilter ref="B3:L6" xr:uid="{5A39537A-AD85-40E4-8132-CD746B4A4B1E}"/>
  <tableColumns count="11">
    <tableColumn id="1" xr3:uid="{7F49C8BC-1009-4421-9279-20BA630C3F5B}" name="Index"/>
    <tableColumn id="2" xr3:uid="{5E47D918-C96A-47BF-882D-1F6F0C3B3A06}" name="Raw_High"/>
    <tableColumn id="3" xr3:uid="{42042122-A3C7-45DE-BE04-EE362424866A}" name="Raw_Low"/>
    <tableColumn id="4" xr3:uid="{38749820-830E-4531-9B07-60F99E376E35}" name="Empty_Weight"/>
    <tableColumn id="5" xr3:uid="{3C6786F6-9E55-48CD-86D5-85BF334A8548}" name="Final_Weight"/>
    <tableColumn id="6" xr3:uid="{880A759E-940B-4C0C-99C2-58AD72247495}" name="Start_Time" dataDxfId="4"/>
    <tableColumn id="7" xr3:uid="{1D3E761D-6183-43C4-A343-C4E44D78FD50}" name="End_Time" dataDxfId="3"/>
    <tableColumn id="8" xr3:uid="{75A5C027-3B36-48B6-86D0-E5E9FA3F4DCE}" name="Start_Volume (mL)"/>
    <tableColumn id="9" xr3:uid="{C4D2723B-1B01-441D-85D6-13310EAF7F91}" name="End_Volume (mL)"/>
    <tableColumn id="10" xr3:uid="{67DF149A-872D-49FA-A2C7-03C36BF4252C}" name="Flow_Rate (mL/Day)"/>
    <tableColumn id="11" xr3:uid="{4C918E9C-6C56-44E4-AAB9-748906BB462D}" name="Note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A1B13B-2067-4436-91E8-CE7B0EC89831}" name="Table2" displayName="Table2" ref="O3:R6" totalsRowShown="0">
  <autoFilter ref="O3:R6" xr:uid="{AFA1B13B-2067-4436-91E8-CE7B0EC89831}"/>
  <tableColumns count="4">
    <tableColumn id="1" xr3:uid="{97463821-DEE2-4F42-AC00-A7A61AC07CE0}" name="Duration" dataDxfId="2">
      <calculatedColumnFormula>H4-G4</calculatedColumnFormula>
    </tableColumn>
    <tableColumn id="4" xr3:uid="{052C2071-850E-42F5-A26B-889DB58815C3}" name="Duration in Min" dataDxfId="1">
      <calculatedColumnFormula>O4</calculatedColumnFormula>
    </tableColumn>
    <tableColumn id="2" xr3:uid="{D45938C1-DA43-4572-97E8-35C0F3958EB1}" name="Volume by Syringe">
      <calculatedColumnFormula>I4-J4</calculatedColumnFormula>
    </tableColumn>
    <tableColumn id="3" xr3:uid="{CE281EF5-AD90-4E03-8914-DD9A9D900FAD}" name="Volume by Weight" dataDxfId="0">
      <calculatedColumnFormula>(F4-E4)/0.9982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U6"/>
  <sheetViews>
    <sheetView tabSelected="1" workbookViewId="0">
      <selection activeCell="Q10" sqref="Q10"/>
    </sheetView>
  </sheetViews>
  <sheetFormatPr defaultRowHeight="14.5" x14ac:dyDescent="0.35"/>
  <cols>
    <col min="2" max="2" width="10.36328125" customWidth="1"/>
    <col min="3" max="4" width="12.08984375" customWidth="1"/>
    <col min="5" max="5" width="16.7265625" customWidth="1"/>
    <col min="6" max="6" width="15.1796875" customWidth="1"/>
    <col min="7" max="7" width="21.7265625" customWidth="1"/>
    <col min="8" max="8" width="22.08984375" customWidth="1"/>
    <col min="9" max="9" width="18.90625" customWidth="1"/>
    <col min="10" max="10" width="18.36328125" customWidth="1"/>
    <col min="11" max="11" width="20.6328125" customWidth="1"/>
    <col min="12" max="12" width="23.453125" customWidth="1"/>
    <col min="15" max="15" width="12.453125" customWidth="1"/>
    <col min="16" max="16" width="16.7265625" customWidth="1"/>
    <col min="17" max="17" width="19.54296875" customWidth="1"/>
    <col min="18" max="18" width="19.7265625" customWidth="1"/>
    <col min="19" max="19" width="19.81640625" customWidth="1"/>
  </cols>
  <sheetData>
    <row r="3" spans="2:21" x14ac:dyDescent="0.35">
      <c r="B3" t="s">
        <v>6</v>
      </c>
      <c r="C3" t="s">
        <v>0</v>
      </c>
      <c r="D3" t="s">
        <v>1</v>
      </c>
      <c r="E3" t="s">
        <v>2</v>
      </c>
      <c r="F3" t="s">
        <v>3</v>
      </c>
      <c r="G3" t="s">
        <v>4</v>
      </c>
      <c r="H3" t="s">
        <v>5</v>
      </c>
      <c r="I3" t="s">
        <v>13</v>
      </c>
      <c r="J3" t="s">
        <v>14</v>
      </c>
      <c r="K3" t="s">
        <v>15</v>
      </c>
      <c r="L3" t="s">
        <v>7</v>
      </c>
      <c r="O3" t="s">
        <v>9</v>
      </c>
      <c r="P3" t="s">
        <v>12</v>
      </c>
      <c r="Q3" t="s">
        <v>10</v>
      </c>
      <c r="R3" t="s">
        <v>11</v>
      </c>
      <c r="U3" t="s">
        <v>16</v>
      </c>
    </row>
    <row r="4" spans="2:21" x14ac:dyDescent="0.35">
      <c r="B4">
        <v>1</v>
      </c>
      <c r="C4">
        <v>282</v>
      </c>
      <c r="D4">
        <v>156</v>
      </c>
      <c r="E4">
        <v>14.89</v>
      </c>
      <c r="F4">
        <v>15.89</v>
      </c>
      <c r="G4" s="2">
        <v>45867.731944444444</v>
      </c>
      <c r="H4" s="2">
        <v>45868.256249999999</v>
      </c>
      <c r="I4">
        <v>11.75</v>
      </c>
      <c r="J4">
        <v>10.65</v>
      </c>
      <c r="K4">
        <v>2.5</v>
      </c>
      <c r="L4" t="s">
        <v>8</v>
      </c>
      <c r="O4" s="3">
        <f>H4-G4</f>
        <v>0.52430555555474712</v>
      </c>
      <c r="P4" s="4">
        <f>O4</f>
        <v>0.52430555555474712</v>
      </c>
      <c r="Q4" s="5">
        <f>I4-J4</f>
        <v>1.0999999999999996</v>
      </c>
      <c r="R4" s="1">
        <f>(F4-E4)/0.9982</f>
        <v>1.0018032458425166</v>
      </c>
      <c r="T4" s="5"/>
      <c r="U4">
        <f>Q4*1440/755</f>
        <v>2.0980132450331119</v>
      </c>
    </row>
    <row r="5" spans="2:21" x14ac:dyDescent="0.35">
      <c r="B5">
        <v>2</v>
      </c>
      <c r="C5">
        <v>290</v>
      </c>
      <c r="D5">
        <v>163</v>
      </c>
      <c r="E5">
        <v>4.38</v>
      </c>
      <c r="F5">
        <v>4.68</v>
      </c>
      <c r="G5" s="2">
        <v>45868.517361111109</v>
      </c>
      <c r="H5" s="2">
        <v>45868.688888888886</v>
      </c>
      <c r="I5">
        <v>10.65</v>
      </c>
      <c r="J5">
        <v>10.25</v>
      </c>
      <c r="K5">
        <v>2.5</v>
      </c>
      <c r="O5" s="3">
        <f>H5-G5</f>
        <v>0.17152777777664596</v>
      </c>
      <c r="P5" s="4">
        <f>O5</f>
        <v>0.17152777777664596</v>
      </c>
      <c r="Q5" s="5">
        <f>I5-J5</f>
        <v>0.40000000000000036</v>
      </c>
      <c r="R5" s="1">
        <f>(F5-E5)/0.9982</f>
        <v>0.30054097375275479</v>
      </c>
      <c r="U5">
        <f>Q5*1440/247</f>
        <v>2.3319838056680182</v>
      </c>
    </row>
    <row r="6" spans="2:21" x14ac:dyDescent="0.35">
      <c r="B6">
        <v>3</v>
      </c>
      <c r="C6">
        <v>290</v>
      </c>
      <c r="D6">
        <v>163</v>
      </c>
      <c r="E6">
        <v>4.68</v>
      </c>
      <c r="G6" s="2">
        <v>45868.693055555559</v>
      </c>
      <c r="H6" s="2"/>
      <c r="I6">
        <v>10.25</v>
      </c>
      <c r="K6">
        <v>2.5</v>
      </c>
      <c r="O6" s="3">
        <f>H6-G6</f>
        <v>-45868.693055555559</v>
      </c>
      <c r="P6" s="4">
        <f>O6</f>
        <v>-45868.693055555559</v>
      </c>
      <c r="Q6" s="5">
        <f>I6-J6</f>
        <v>10.25</v>
      </c>
      <c r="R6" s="1">
        <f>(F6-E6)/0.9982</f>
        <v>-4.6884391905429768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Ramzan Jamali</dc:creator>
  <cp:lastModifiedBy>Ramzan Jamali</cp:lastModifiedBy>
  <dcterms:created xsi:type="dcterms:W3CDTF">2015-06-05T18:19:34Z</dcterms:created>
  <dcterms:modified xsi:type="dcterms:W3CDTF">2025-07-30T15:05:34Z</dcterms:modified>
</cp:coreProperties>
</file>