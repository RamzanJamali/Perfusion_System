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51E81EA3-F260-41A5-A802-1D5945363D25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5" i="1" l="1"/>
  <c r="N45" i="1"/>
  <c r="L45" i="1"/>
  <c r="W38" i="1"/>
  <c r="T38" i="1"/>
  <c r="T37" i="1"/>
  <c r="O38" i="1"/>
  <c r="L38" i="1"/>
  <c r="L37" i="1"/>
  <c r="T34" i="1"/>
  <c r="T33" i="1"/>
  <c r="P34" i="1"/>
  <c r="P35" i="1"/>
  <c r="P33" i="1"/>
  <c r="L34" i="1"/>
  <c r="L33" i="1"/>
  <c r="W29" i="1"/>
  <c r="W28" i="1"/>
  <c r="S29" i="1"/>
  <c r="S30" i="1"/>
  <c r="S28" i="1"/>
  <c r="O29" i="1"/>
  <c r="O30" i="1"/>
  <c r="O28" i="1"/>
  <c r="O19" i="1"/>
  <c r="P19" i="1" s="1"/>
  <c r="S19" i="1" s="1"/>
  <c r="Q19" i="1"/>
  <c r="U19" i="1" s="1"/>
  <c r="R19" i="1"/>
  <c r="O18" i="1"/>
  <c r="P18" i="1" s="1"/>
  <c r="S18" i="1" s="1"/>
  <c r="Q18" i="1"/>
  <c r="U18" i="1" s="1"/>
  <c r="R18" i="1"/>
  <c r="J29" i="1"/>
  <c r="J30" i="1" s="1"/>
  <c r="J31" i="1" s="1"/>
  <c r="J28" i="1"/>
  <c r="O17" i="1"/>
  <c r="P17" i="1" s="1"/>
  <c r="S17" i="1" s="1"/>
  <c r="Q17" i="1"/>
  <c r="U17" i="1" s="1"/>
  <c r="R17" i="1"/>
  <c r="O16" i="1"/>
  <c r="P16" i="1" s="1"/>
  <c r="S16" i="1" s="1"/>
  <c r="Q16" i="1"/>
  <c r="U16" i="1" s="1"/>
  <c r="V16" i="1" s="1"/>
  <c r="R16" i="1"/>
  <c r="O15" i="1"/>
  <c r="P15" i="1" s="1"/>
  <c r="S15" i="1" s="1"/>
  <c r="Q15" i="1"/>
  <c r="U15" i="1" s="1"/>
  <c r="R15" i="1"/>
  <c r="O14" i="1"/>
  <c r="P14" i="1" s="1"/>
  <c r="S14" i="1" s="1"/>
  <c r="Q14" i="1"/>
  <c r="U14" i="1" s="1"/>
  <c r="R14" i="1"/>
  <c r="O13" i="1"/>
  <c r="P13" i="1" s="1"/>
  <c r="S13" i="1" s="1"/>
  <c r="Q13" i="1"/>
  <c r="U13" i="1" s="1"/>
  <c r="R13" i="1"/>
  <c r="O12" i="1"/>
  <c r="P12" i="1" s="1"/>
  <c r="S12" i="1" s="1"/>
  <c r="Q12" i="1"/>
  <c r="U12" i="1" s="1"/>
  <c r="R12" i="1"/>
  <c r="O11" i="1"/>
  <c r="P11" i="1" s="1"/>
  <c r="S11" i="1" s="1"/>
  <c r="Q11" i="1"/>
  <c r="U11" i="1" s="1"/>
  <c r="V11" i="1" s="1"/>
  <c r="R11" i="1"/>
  <c r="O10" i="1"/>
  <c r="P10" i="1" s="1"/>
  <c r="S10" i="1" s="1"/>
  <c r="Q10" i="1"/>
  <c r="U10" i="1" s="1"/>
  <c r="V10" i="1" s="1"/>
  <c r="R10" i="1"/>
  <c r="V19" i="1" l="1"/>
  <c r="V18" i="1"/>
  <c r="V17" i="1"/>
  <c r="V15" i="1"/>
  <c r="V14" i="1"/>
  <c r="V13" i="1"/>
  <c r="V12" i="1"/>
  <c r="U9" i="1"/>
  <c r="V9" i="1" s="1"/>
  <c r="O9" i="1"/>
  <c r="P9" i="1" s="1"/>
  <c r="S9" i="1" s="1"/>
  <c r="Q9" i="1"/>
  <c r="R9" i="1"/>
  <c r="U8" i="1"/>
  <c r="V8" i="1" s="1"/>
  <c r="O8" i="1"/>
  <c r="P8" i="1" s="1"/>
  <c r="S8" i="1" s="1"/>
  <c r="Q8" i="1"/>
  <c r="R8" i="1"/>
  <c r="U7" i="1"/>
  <c r="V7" i="1" s="1"/>
  <c r="O7" i="1"/>
  <c r="P7" i="1"/>
  <c r="S7" i="1" s="1"/>
  <c r="Q7" i="1"/>
  <c r="R7" i="1"/>
  <c r="O6" i="1"/>
  <c r="P6" i="1" s="1"/>
  <c r="S6" i="1" s="1"/>
  <c r="Q6" i="1"/>
  <c r="U6" i="1" s="1"/>
  <c r="V6" i="1" s="1"/>
  <c r="R6" i="1"/>
  <c r="Q5" i="1"/>
  <c r="U5" i="1" s="1"/>
  <c r="V5" i="1" s="1"/>
  <c r="R5" i="1"/>
  <c r="O5" i="1"/>
  <c r="P5" i="1" s="1"/>
  <c r="S5" i="1" s="1"/>
  <c r="O4" i="1"/>
  <c r="P4" i="1" s="1"/>
  <c r="S4" i="1" s="1"/>
  <c r="R4" i="1"/>
  <c r="Q4" i="1"/>
  <c r="U4" i="1" s="1"/>
  <c r="V4" i="1" s="1"/>
</calcChain>
</file>

<file path=xl/sharedStrings.xml><?xml version="1.0" encoding="utf-8"?>
<sst xmlns="http://schemas.openxmlformats.org/spreadsheetml/2006/main" count="20" uniqueCount="20">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</sst>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19" totalsRowShown="0">
  <autoFilter ref="B3:L19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S19" totalsRowShown="0">
  <autoFilter ref="O3:S19" xr:uid="{AFA1B13B-2067-4436-91E8-CE7B0EC89831}"/>
  <tableColumns count="5">
    <tableColumn id="1" xr3:uid="{97463821-DEE2-4F42-AC00-A7A61AC07CE0}" name="Duration" dataDxfId="5">
      <calculatedColumnFormula>H4-G4</calculatedColumnFormula>
    </tableColumn>
    <tableColumn id="4" xr3:uid="{052C2071-850E-42F5-A26B-889DB58815C3}" name="Duration in Min" dataDxfId="4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3">
      <calculatedColumnFormula>(F4-E4)/0.9982</calculatedColumnFormula>
    </tableColumn>
    <tableColumn id="5" xr3:uid="{9AD10D29-13FB-4A61-B0DA-D4754470DC60}" name="Expected Vol for Perfusion" dataDxfId="0">
      <calculatedColumnFormula>K4*P4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2"/>
    <tableColumn id="2" xr3:uid="{805730DE-BF4F-464F-9520-598D1BFA9242}" name="Accuracy" dataDxfId="1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45"/>
  <sheetViews>
    <sheetView tabSelected="1" topLeftCell="B6" workbookViewId="0">
      <selection activeCell="R44" sqref="R44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26953125" customWidth="1"/>
    <col min="17" max="17" width="18.54296875" customWidth="1"/>
    <col min="18" max="18" width="19.7265625" customWidth="1"/>
    <col min="19" max="19" width="25.363281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S3" t="s">
        <v>19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S4" s="5">
        <f t="shared" ref="S4:S18" si="4">K4*P4</f>
        <v>1.3107638888868678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S5" s="5">
        <f t="shared" si="4"/>
        <v>0.42881944444161491</v>
      </c>
      <c r="U5" s="1">
        <f>Q5*1440/247</f>
        <v>2.3319838056680182</v>
      </c>
      <c r="V5" s="7">
        <f t="shared" ref="V5:V11" si="5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S6" s="5">
        <f t="shared" si="4"/>
        <v>1.8454861111058563</v>
      </c>
      <c r="U6" s="1">
        <f>Q6*1440/1052</f>
        <v>2.2585551330798483</v>
      </c>
      <c r="V6" s="7">
        <f t="shared" si="5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S7" s="5">
        <f t="shared" si="4"/>
        <v>1.180555555401952</v>
      </c>
      <c r="U7" s="1">
        <f>Q7*1440/68</f>
        <v>21.176470588235293</v>
      </c>
      <c r="V7" s="7">
        <f t="shared" si="5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S8" s="5">
        <f t="shared" si="4"/>
        <v>1.0590277777737356</v>
      </c>
      <c r="U8" s="1">
        <f>Q8*1440/61</f>
        <v>22.426229508196727</v>
      </c>
      <c r="V8" s="7">
        <f t="shared" si="5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S9" s="5">
        <f t="shared" si="4"/>
        <v>2.3090277776645962</v>
      </c>
      <c r="U9" s="1">
        <f>Q9*1440/133</f>
        <v>27.609022556390975</v>
      </c>
      <c r="V9" s="7">
        <f t="shared" si="5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S10" s="5">
        <f t="shared" si="4"/>
        <v>1.7881944444525288</v>
      </c>
      <c r="U10" s="1">
        <f>Q10*1440/103</f>
        <v>27.961165048543688</v>
      </c>
      <c r="V10" s="7">
        <f t="shared" si="5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S11" s="5">
        <f t="shared" si="4"/>
        <v>1.7482638888941437</v>
      </c>
      <c r="U11" s="1">
        <f>Q11*1440/1007</f>
        <v>2.5024826216484608</v>
      </c>
      <c r="V11" s="7">
        <f t="shared" si="5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6">H12-G12</f>
        <v>9.7916666665696539E-2</v>
      </c>
      <c r="P12" s="4">
        <f t="shared" ref="P12" si="7">O12</f>
        <v>9.7916666665696539E-2</v>
      </c>
      <c r="Q12" s="5">
        <f t="shared" ref="Q12" si="8">I12-J12</f>
        <v>2.4499999999999993</v>
      </c>
      <c r="R12" s="1">
        <f t="shared" ref="R12" si="9">(F12-E12)/0.9982</f>
        <v>0</v>
      </c>
      <c r="S12" s="5">
        <f t="shared" si="4"/>
        <v>2.4479166666424135</v>
      </c>
      <c r="U12" s="1">
        <f>Q12*1440/141</f>
        <v>25.021276595744673</v>
      </c>
      <c r="V12" s="7">
        <f t="shared" ref="V12" si="10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1">H13-G13</f>
        <v>0.14513888888905058</v>
      </c>
      <c r="P13" s="4">
        <f t="shared" ref="P13" si="12">O13</f>
        <v>0.14513888888905058</v>
      </c>
      <c r="Q13" s="5">
        <f t="shared" ref="Q13" si="13">I13-J13</f>
        <v>3.5999999999999996</v>
      </c>
      <c r="R13" s="1">
        <f t="shared" ref="R13" si="14">(F13-E13)/0.9982</f>
        <v>0</v>
      </c>
      <c r="S13" s="5">
        <f t="shared" si="4"/>
        <v>3.6284722222262644</v>
      </c>
      <c r="U13" s="1">
        <f>Q13*1440/209</f>
        <v>24.803827751196167</v>
      </c>
      <c r="V13" s="7">
        <f t="shared" ref="V13" si="15">(1-ABS(U13-K13)/K13)*100%</f>
        <v>0.99215311004784668</v>
      </c>
    </row>
    <row r="14" spans="2:22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6">H14-G14</f>
        <v>9.5138888893416151E-2</v>
      </c>
      <c r="P14" s="4">
        <f t="shared" ref="P14" si="17">O14</f>
        <v>9.5138888893416151E-2</v>
      </c>
      <c r="Q14" s="5">
        <f t="shared" ref="Q14" si="18">I14-J14</f>
        <v>0.51999999999999957</v>
      </c>
      <c r="R14" s="1">
        <f t="shared" ref="R14" si="19">(F14-E14)/0.9982</f>
        <v>0</v>
      </c>
      <c r="S14" s="5">
        <f t="shared" si="4"/>
        <v>0.47569444446708076</v>
      </c>
      <c r="U14" s="1">
        <f>Q14*1440/137</f>
        <v>5.4656934306569296</v>
      </c>
      <c r="V14" s="7">
        <f t="shared" ref="V14" si="20">(1-ABS(U14-K14)/K14)*100%</f>
        <v>0.90686131386861413</v>
      </c>
    </row>
    <row r="15" spans="2:22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1">H15-G15</f>
        <v>0.94930555555038154</v>
      </c>
      <c r="P15" s="4">
        <f t="shared" ref="P15" si="22">O15</f>
        <v>0.94930555555038154</v>
      </c>
      <c r="Q15" s="5">
        <f t="shared" ref="Q15" si="23">I15-J15</f>
        <v>2.3999999999999986</v>
      </c>
      <c r="R15" s="1">
        <f t="shared" ref="R15" si="24">(F15-E15)/0.9982</f>
        <v>0</v>
      </c>
      <c r="S15" s="5">
        <f t="shared" si="4"/>
        <v>2.3732638888759539</v>
      </c>
      <c r="U15" s="1">
        <f>Q15*1440/1367</f>
        <v>2.5281638624725664</v>
      </c>
      <c r="V15" s="7">
        <f t="shared" ref="V15" si="25">(1-ABS(U15-K15)/K15)*100%</f>
        <v>0.98873445501097346</v>
      </c>
    </row>
    <row r="16" spans="2:22" x14ac:dyDescent="0.3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6">H16-G16</f>
        <v>3.9437499999985448</v>
      </c>
      <c r="P16" s="4">
        <f t="shared" ref="P16" si="27">O16</f>
        <v>3.9437499999985448</v>
      </c>
      <c r="Q16" s="5">
        <f t="shared" ref="Q16" si="28">I16-J16</f>
        <v>10.45</v>
      </c>
      <c r="R16" s="1">
        <f t="shared" ref="R16" si="29">(F16-E16)/0.9982</f>
        <v>0</v>
      </c>
      <c r="S16" s="5">
        <f t="shared" si="4"/>
        <v>9.859374999996362</v>
      </c>
      <c r="U16" s="1">
        <f>Q16*1440/5679</f>
        <v>2.6497622820919173</v>
      </c>
      <c r="V16" s="7">
        <f t="shared" ref="V16" si="30">(1-ABS(U16-K16)/K16)*100%</f>
        <v>0.94009508716323309</v>
      </c>
    </row>
    <row r="17" spans="2:23" x14ac:dyDescent="0.3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1">H17-G17</f>
        <v>2.9944444444481633</v>
      </c>
      <c r="P17" s="4">
        <f t="shared" ref="P17" si="32">O17</f>
        <v>2.9944444444481633</v>
      </c>
      <c r="Q17" s="5">
        <f t="shared" ref="Q17" si="33">I17-J17</f>
        <v>8.0500000000000007</v>
      </c>
      <c r="R17" s="1">
        <f t="shared" ref="R17" si="34">(F17-E17)/0.9982</f>
        <v>0</v>
      </c>
      <c r="S17" s="5">
        <f t="shared" si="4"/>
        <v>7.4861111111204082</v>
      </c>
      <c r="U17" s="1">
        <f>Q17*1440/4312</f>
        <v>2.6883116883116887</v>
      </c>
      <c r="V17" s="7">
        <f t="shared" ref="V17" si="35">(1-ABS(U17-K17)/K17)*100%</f>
        <v>0.92467532467532454</v>
      </c>
    </row>
    <row r="18" spans="2:23" x14ac:dyDescent="0.35">
      <c r="B18">
        <v>15</v>
      </c>
      <c r="C18">
        <v>286</v>
      </c>
      <c r="D18">
        <v>159</v>
      </c>
      <c r="E18">
        <v>0</v>
      </c>
      <c r="F18">
        <v>0</v>
      </c>
      <c r="G18" s="6">
        <v>45880.736805555556</v>
      </c>
      <c r="H18" s="6">
        <v>45881.38958333333</v>
      </c>
      <c r="I18">
        <v>11.65</v>
      </c>
      <c r="J18">
        <v>10.1</v>
      </c>
      <c r="K18">
        <v>2.5</v>
      </c>
      <c r="O18" s="3">
        <f t="shared" ref="O18" si="36">H18-G18</f>
        <v>0.65277777777373558</v>
      </c>
      <c r="P18" s="4">
        <f t="shared" ref="P18" si="37">O18</f>
        <v>0.65277777777373558</v>
      </c>
      <c r="Q18" s="5">
        <f t="shared" ref="Q18" si="38">I18-J18</f>
        <v>1.5500000000000007</v>
      </c>
      <c r="R18" s="1">
        <f t="shared" ref="R18" si="39">(F18-E18)/0.9982</f>
        <v>0</v>
      </c>
      <c r="S18" s="5">
        <f t="shared" si="4"/>
        <v>1.6319444444343389</v>
      </c>
      <c r="U18" s="1">
        <f>Q18*1440/940</f>
        <v>2.374468085106384</v>
      </c>
      <c r="V18" s="7">
        <f t="shared" ref="V18" si="40">(1-ABS(U18-K18)/K18)*100%</f>
        <v>0.94978723404255361</v>
      </c>
    </row>
    <row r="19" spans="2:23" x14ac:dyDescent="0.35">
      <c r="B19">
        <v>16</v>
      </c>
      <c r="C19">
        <v>286</v>
      </c>
      <c r="D19">
        <v>159</v>
      </c>
      <c r="E19">
        <v>0</v>
      </c>
      <c r="F19">
        <v>0</v>
      </c>
      <c r="G19" s="6">
        <v>45880.736805555556</v>
      </c>
      <c r="H19" s="6">
        <v>45882.484027777777</v>
      </c>
      <c r="I19">
        <v>11.65</v>
      </c>
      <c r="J19">
        <v>7.5</v>
      </c>
      <c r="K19">
        <v>2.5</v>
      </c>
      <c r="O19" s="3">
        <f t="shared" ref="O19" si="41">H19-G19</f>
        <v>1.7472222222204437</v>
      </c>
      <c r="P19" s="4">
        <f t="shared" ref="P19" si="42">O19</f>
        <v>1.7472222222204437</v>
      </c>
      <c r="Q19" s="5">
        <f t="shared" ref="Q19" si="43">I19-J19</f>
        <v>4.1500000000000004</v>
      </c>
      <c r="R19" s="1">
        <f t="shared" ref="R19" si="44">(F19-E19)/0.9982</f>
        <v>0</v>
      </c>
      <c r="S19" s="5">
        <f>K19*P19</f>
        <v>4.3680555555511091</v>
      </c>
      <c r="U19" s="1">
        <f>Q19*1440/2516</f>
        <v>2.375198728139905</v>
      </c>
      <c r="V19" s="7">
        <f t="shared" ref="V19" si="45">(1-ABS(U19-K19)/K19)*100%</f>
        <v>0.95007949125596203</v>
      </c>
    </row>
    <row r="27" spans="2:23" x14ac:dyDescent="0.35">
      <c r="L27">
        <v>65.77</v>
      </c>
      <c r="P27">
        <v>80.89</v>
      </c>
      <c r="T27">
        <v>74</v>
      </c>
    </row>
    <row r="28" spans="2:23" x14ac:dyDescent="0.35">
      <c r="H28" s="8">
        <v>65.773633770000004</v>
      </c>
      <c r="I28">
        <v>2.2999999999999998</v>
      </c>
      <c r="J28">
        <f>H28/I28</f>
        <v>28.597232073913048</v>
      </c>
      <c r="L28">
        <v>247</v>
      </c>
      <c r="M28">
        <v>0.4</v>
      </c>
      <c r="N28">
        <v>0.43</v>
      </c>
      <c r="O28">
        <f>M28-N28</f>
        <v>-2.9999999999999971E-2</v>
      </c>
      <c r="P28">
        <v>1367</v>
      </c>
      <c r="Q28">
        <v>2.4</v>
      </c>
      <c r="R28">
        <v>2.37</v>
      </c>
      <c r="S28">
        <f>Q28-R28</f>
        <v>2.9999999999999805E-2</v>
      </c>
      <c r="T28">
        <v>940</v>
      </c>
      <c r="U28">
        <v>1.55</v>
      </c>
      <c r="V28">
        <v>1.63</v>
      </c>
      <c r="W28">
        <f>U28-V28</f>
        <v>-7.9999999999999849E-2</v>
      </c>
    </row>
    <row r="29" spans="2:23" x14ac:dyDescent="0.35">
      <c r="H29" s="8">
        <v>80.890960000000007</v>
      </c>
      <c r="I29">
        <v>2.69</v>
      </c>
      <c r="J29">
        <f>H29/I29</f>
        <v>30.070988847583646</v>
      </c>
      <c r="L29">
        <v>1007</v>
      </c>
      <c r="M29">
        <v>1.75</v>
      </c>
      <c r="N29">
        <v>1.75</v>
      </c>
      <c r="O29">
        <f t="shared" ref="O29:O30" si="46">M29-N29</f>
        <v>0</v>
      </c>
      <c r="P29">
        <v>4312</v>
      </c>
      <c r="Q29">
        <v>8.0500000000000007</v>
      </c>
      <c r="R29">
        <v>7.49</v>
      </c>
      <c r="S29">
        <f t="shared" ref="S29:S30" si="47">Q29-R29</f>
        <v>0.5600000000000005</v>
      </c>
      <c r="T29">
        <v>2516</v>
      </c>
      <c r="U29">
        <v>4.1500000000000004</v>
      </c>
      <c r="V29">
        <v>4.37</v>
      </c>
      <c r="W29">
        <f>U29-V29</f>
        <v>-0.21999999999999975</v>
      </c>
    </row>
    <row r="30" spans="2:23" x14ac:dyDescent="0.35">
      <c r="I30">
        <v>2.5</v>
      </c>
      <c r="J30">
        <f>(J28+J29)/2</f>
        <v>29.334110460748349</v>
      </c>
      <c r="L30">
        <v>1063</v>
      </c>
      <c r="M30">
        <v>1.65</v>
      </c>
      <c r="N30">
        <v>1.85</v>
      </c>
      <c r="O30">
        <f t="shared" si="46"/>
        <v>-0.20000000000000018</v>
      </c>
      <c r="P30">
        <v>5679</v>
      </c>
      <c r="Q30">
        <v>10.45</v>
      </c>
      <c r="R30">
        <v>9.86</v>
      </c>
      <c r="S30">
        <f t="shared" si="47"/>
        <v>0.58999999999999986</v>
      </c>
    </row>
    <row r="31" spans="2:23" x14ac:dyDescent="0.35">
      <c r="J31">
        <f>J30*I30</f>
        <v>73.335276151870872</v>
      </c>
    </row>
    <row r="33" spans="12:23" x14ac:dyDescent="0.35">
      <c r="L33">
        <f>247/-0.03</f>
        <v>-8233.3333333333339</v>
      </c>
      <c r="P33">
        <f>P28/S28</f>
        <v>45566.666666666963</v>
      </c>
      <c r="T33">
        <f>T28/W28</f>
        <v>-11750.000000000022</v>
      </c>
    </row>
    <row r="34" spans="12:23" x14ac:dyDescent="0.35">
      <c r="L34">
        <f>1063/-0.2</f>
        <v>-5315</v>
      </c>
      <c r="P34">
        <f t="shared" ref="P34:P35" si="48">P29/S29</f>
        <v>7699.9999999999927</v>
      </c>
      <c r="T34">
        <f>T29/W29</f>
        <v>-11436.363636363649</v>
      </c>
    </row>
    <row r="35" spans="12:23" x14ac:dyDescent="0.35">
      <c r="P35">
        <f t="shared" si="48"/>
        <v>9625.423728813561</v>
      </c>
    </row>
    <row r="37" spans="12:23" x14ac:dyDescent="0.35">
      <c r="L37">
        <f>5679/1063</f>
        <v>5.3424270931326436</v>
      </c>
      <c r="T37">
        <f>P30/T29</f>
        <v>2.257154213036566</v>
      </c>
    </row>
    <row r="38" spans="12:23" x14ac:dyDescent="0.35">
      <c r="L38">
        <f>L30*L37</f>
        <v>5679</v>
      </c>
      <c r="O38">
        <f>O30*L37</f>
        <v>-1.0684854186265296</v>
      </c>
      <c r="T38">
        <f>T29*T37</f>
        <v>5679</v>
      </c>
      <c r="W38">
        <f>W29*T37</f>
        <v>-0.49657392686804397</v>
      </c>
    </row>
    <row r="44" spans="12:23" x14ac:dyDescent="0.35">
      <c r="L44">
        <v>65.77</v>
      </c>
      <c r="N44">
        <v>80.89</v>
      </c>
      <c r="P44">
        <v>74</v>
      </c>
      <c r="R44">
        <v>77.150000000000006</v>
      </c>
    </row>
    <row r="45" spans="12:23" x14ac:dyDescent="0.35">
      <c r="L45">
        <f>O38</f>
        <v>-1.0684854186265296</v>
      </c>
      <c r="N45">
        <f>S30</f>
        <v>0.58999999999999986</v>
      </c>
      <c r="P45">
        <f>W38</f>
        <v>-0.49657392686804397</v>
      </c>
      <c r="R45">
        <v>0</v>
      </c>
    </row>
  </sheetData>
  <conditionalFormatting sqref="V4:V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2025-08-13T10:08:07Z</dcterms:modified>
</cp:coreProperties>
</file>